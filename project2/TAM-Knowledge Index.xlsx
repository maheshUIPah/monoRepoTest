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Automations\skillIndexAnanlysis\"/>
    </mc:Choice>
  </mc:AlternateContent>
  <xr:revisionPtr revIDLastSave="0" documentId="13_ncr:1_{4665991C-6449-414F-AB37-0CEE678EF469}" xr6:coauthVersionLast="47" xr6:coauthVersionMax="47" xr10:uidLastSave="{00000000-0000-0000-0000-000000000000}"/>
  <bookViews>
    <workbookView xWindow="19090" yWindow="1110" windowWidth="19420" windowHeight="10420" firstSheet="26" activeTab="29" xr2:uid="{00000000-000D-0000-FFFF-FFFF00000000}"/>
  </bookViews>
  <sheets>
    <sheet name="Product and deployment architec" sheetId="16" r:id="rId1"/>
    <sheet name="Support Collaboration_x0009_" sheetId="22" r:id="rId2"/>
    <sheet name="Skill Index" sheetId="3" r:id="rId3"/>
    <sheet name="Robot and Assistant" sheetId="23" r:id="rId4"/>
    <sheet name="Studio Family" sheetId="24" r:id="rId5"/>
    <sheet name="Orchestrator" sheetId="25" r:id="rId6"/>
    <sheet name="HAA" sheetId="26" r:id="rId7"/>
    <sheet name="Action Center" sheetId="27" r:id="rId8"/>
    <sheet name="AI Center - DU" sheetId="28" r:id="rId9"/>
    <sheet name="Test Suite" sheetId="29" r:id="rId10"/>
    <sheet name="Insights" sheetId="30" r:id="rId11"/>
    <sheet name="Task Mining" sheetId="31" r:id="rId12"/>
    <sheet name="Process Mining" sheetId="32" r:id="rId13"/>
    <sheet name="Communication Mining" sheetId="33" r:id="rId14"/>
    <sheet name="Automation Ops" sheetId="34" r:id="rId15"/>
    <sheet name="Integration Services" sheetId="35" r:id="rId16"/>
    <sheet name="Data Services" sheetId="36" r:id="rId17"/>
    <sheet name="Apps" sheetId="37" r:id="rId18"/>
    <sheet name="Automation Hub" sheetId="38" r:id="rId19"/>
    <sheet name="Computer Vision" sheetId="39" r:id="rId20"/>
    <sheet name="Clipboard AI" sheetId="40" r:id="rId21"/>
    <sheet name="Automation Suite - PaaS" sheetId="41" r:id="rId22"/>
    <sheet name="Automation Suite - IaaS" sheetId="42" r:id="rId23"/>
    <sheet name="License Management" sheetId="43" r:id="rId24"/>
    <sheet name="Linux -DevOps - Kubernetes" sheetId="44" r:id="rId25"/>
    <sheet name="Azure - AWS - GCP" sheetId="45" r:id="rId26"/>
    <sheet name="SQL Server" sheetId="46" r:id="rId27"/>
    <sheet name="Infra Skills" sheetId="47" r:id="rId28"/>
    <sheet name="SaaS Adoption" sheetId="48" r:id="rId29"/>
    <sheet name="GenAI Awareness" sheetId="49" r:id="rId30"/>
    <sheet name="Sheet2" sheetId="11" r:id="rId31"/>
    <sheet name="Avg per TAM and Per Product" sheetId="9" r:id="rId32"/>
    <sheet name="Product Expectations" sheetId="8" r:id="rId33"/>
    <sheet name="Scoring system" sheetId="4" r:id="rId34"/>
  </sheets>
  <definedNames>
    <definedName name="_xlnm._FilterDatabase" localSheetId="31" hidden="1">'Avg per TAM and Per Product'!$A$1:$B$18</definedName>
    <definedName name="_xlcn.WorksheetConnection_Sheet1AB1" hidden="1">'Avg per TAM and Per Product'!$A:$B</definedName>
    <definedName name="_xlcn.WorksheetConnection_TAMKnowledgeIndex.xlsxEmployeeRatingsTable1" hidden="1">EmployeeRatingsTable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B"/>
          <x15:modelTable id="EmployeeRatingsTable" name="EmployeeRatingsTable" connection="WorksheetConnection_TAM-Knowledge Index.xlsx!EmployeeRatings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49" l="1"/>
  <c r="M22" i="49"/>
  <c r="L22" i="49"/>
  <c r="K22" i="49"/>
  <c r="J22" i="49"/>
  <c r="I22" i="49"/>
  <c r="N21" i="49"/>
  <c r="M21" i="49"/>
  <c r="L21" i="49"/>
  <c r="K21" i="49"/>
  <c r="J21" i="49"/>
  <c r="I21" i="49"/>
  <c r="N20" i="49"/>
  <c r="M20" i="49"/>
  <c r="L20" i="49"/>
  <c r="K20" i="49"/>
  <c r="J20" i="49"/>
  <c r="I20" i="49"/>
  <c r="N19" i="49"/>
  <c r="M19" i="49"/>
  <c r="L19" i="49"/>
  <c r="K19" i="49"/>
  <c r="J19" i="49"/>
  <c r="I19" i="49"/>
  <c r="N18" i="49"/>
  <c r="M18" i="49"/>
  <c r="L18" i="49"/>
  <c r="K18" i="49"/>
  <c r="J18" i="49"/>
  <c r="I18" i="49"/>
  <c r="N17" i="49"/>
  <c r="M17" i="49"/>
  <c r="L17" i="49"/>
  <c r="K17" i="49"/>
  <c r="J17" i="49"/>
  <c r="I17" i="49"/>
  <c r="N16" i="49"/>
  <c r="M16" i="49"/>
  <c r="L16" i="49"/>
  <c r="K16" i="49"/>
  <c r="J16" i="49"/>
  <c r="I16" i="49"/>
  <c r="N15" i="49"/>
  <c r="M15" i="49"/>
  <c r="L15" i="49"/>
  <c r="K15" i="49"/>
  <c r="J15" i="49"/>
  <c r="I15" i="49"/>
  <c r="N14" i="49"/>
  <c r="M14" i="49"/>
  <c r="L14" i="49"/>
  <c r="K14" i="49"/>
  <c r="J14" i="49"/>
  <c r="I14" i="49"/>
  <c r="N13" i="49"/>
  <c r="M13" i="49"/>
  <c r="L13" i="49"/>
  <c r="K13" i="49"/>
  <c r="J13" i="49"/>
  <c r="I13" i="49"/>
  <c r="N12" i="49"/>
  <c r="M12" i="49"/>
  <c r="L12" i="49"/>
  <c r="K12" i="49"/>
  <c r="J12" i="49"/>
  <c r="I12" i="49"/>
  <c r="N11" i="49"/>
  <c r="M11" i="49"/>
  <c r="L11" i="49"/>
  <c r="K11" i="49"/>
  <c r="J11" i="49"/>
  <c r="I11" i="49"/>
  <c r="N10" i="49"/>
  <c r="M10" i="49"/>
  <c r="L10" i="49"/>
  <c r="K10" i="49"/>
  <c r="J10" i="49"/>
  <c r="I10" i="49"/>
  <c r="N9" i="49"/>
  <c r="M9" i="49"/>
  <c r="L9" i="49"/>
  <c r="K9" i="49"/>
  <c r="J9" i="49"/>
  <c r="I9" i="49"/>
  <c r="N8" i="49"/>
  <c r="M8" i="49"/>
  <c r="L8" i="49"/>
  <c r="K8" i="49"/>
  <c r="J8" i="49"/>
  <c r="I8" i="49"/>
  <c r="N7" i="49"/>
  <c r="M7" i="49"/>
  <c r="L7" i="49"/>
  <c r="K7" i="49"/>
  <c r="J7" i="49"/>
  <c r="I7" i="49"/>
  <c r="N6" i="49"/>
  <c r="M6" i="49"/>
  <c r="L6" i="49"/>
  <c r="K6" i="49"/>
  <c r="J6" i="49"/>
  <c r="I6" i="49"/>
  <c r="F22" i="49"/>
  <c r="E22" i="49"/>
  <c r="D22" i="49"/>
  <c r="C22" i="49"/>
  <c r="B22" i="49"/>
  <c r="A22" i="49"/>
  <c r="F21" i="49"/>
  <c r="E21" i="49"/>
  <c r="D21" i="49"/>
  <c r="C21" i="49"/>
  <c r="B21" i="49"/>
  <c r="A21" i="49"/>
  <c r="F20" i="49"/>
  <c r="E20" i="49"/>
  <c r="D20" i="49"/>
  <c r="C20" i="49"/>
  <c r="B20" i="49"/>
  <c r="A20" i="49"/>
  <c r="F19" i="49"/>
  <c r="E19" i="49"/>
  <c r="D19" i="49"/>
  <c r="C19" i="49"/>
  <c r="B19" i="49"/>
  <c r="A19" i="49"/>
  <c r="F18" i="49"/>
  <c r="E18" i="49"/>
  <c r="D18" i="49"/>
  <c r="C18" i="49"/>
  <c r="B18" i="49"/>
  <c r="A18" i="49"/>
  <c r="F17" i="49"/>
  <c r="E17" i="49"/>
  <c r="D17" i="49"/>
  <c r="C17" i="49"/>
  <c r="B17" i="49"/>
  <c r="A17" i="49"/>
  <c r="F16" i="49"/>
  <c r="E16" i="49"/>
  <c r="D16" i="49"/>
  <c r="C16" i="49"/>
  <c r="B16" i="49"/>
  <c r="A16" i="49"/>
  <c r="F15" i="49"/>
  <c r="E15" i="49"/>
  <c r="D15" i="49"/>
  <c r="C15" i="49"/>
  <c r="B15" i="49"/>
  <c r="A15" i="49"/>
  <c r="F14" i="49"/>
  <c r="E14" i="49"/>
  <c r="D14" i="49"/>
  <c r="C14" i="49"/>
  <c r="B14" i="49"/>
  <c r="A14" i="49"/>
  <c r="F13" i="49"/>
  <c r="E13" i="49"/>
  <c r="D13" i="49"/>
  <c r="C13" i="49"/>
  <c r="B13" i="49"/>
  <c r="A13" i="49"/>
  <c r="F12" i="49"/>
  <c r="E12" i="49"/>
  <c r="D12" i="49"/>
  <c r="C12" i="49"/>
  <c r="B12" i="49"/>
  <c r="A12" i="49"/>
  <c r="F11" i="49"/>
  <c r="E11" i="49"/>
  <c r="D11" i="49"/>
  <c r="C11" i="49"/>
  <c r="B11" i="49"/>
  <c r="A11" i="49"/>
  <c r="F10" i="49"/>
  <c r="E10" i="49"/>
  <c r="D10" i="49"/>
  <c r="C10" i="49"/>
  <c r="B10" i="49"/>
  <c r="A10" i="49"/>
  <c r="F9" i="49"/>
  <c r="E9" i="49"/>
  <c r="D9" i="49"/>
  <c r="C9" i="49"/>
  <c r="B9" i="49"/>
  <c r="A9" i="49"/>
  <c r="F8" i="49"/>
  <c r="E8" i="49"/>
  <c r="D8" i="49"/>
  <c r="C8" i="49"/>
  <c r="B8" i="49"/>
  <c r="A8" i="49"/>
  <c r="F7" i="49"/>
  <c r="E7" i="49"/>
  <c r="D7" i="49"/>
  <c r="C7" i="49"/>
  <c r="B7" i="49"/>
  <c r="A7" i="49"/>
  <c r="F6" i="49"/>
  <c r="E6" i="49"/>
  <c r="D6" i="49"/>
  <c r="C6" i="49"/>
  <c r="B6" i="49"/>
  <c r="A6" i="49"/>
  <c r="V22" i="48"/>
  <c r="U22" i="48"/>
  <c r="T22" i="48"/>
  <c r="S22" i="48"/>
  <c r="R22" i="48"/>
  <c r="Q22" i="48"/>
  <c r="V21" i="48"/>
  <c r="U21" i="48"/>
  <c r="T21" i="48"/>
  <c r="S21" i="48"/>
  <c r="R21" i="48"/>
  <c r="Q21" i="48"/>
  <c r="V20" i="48"/>
  <c r="U20" i="48"/>
  <c r="T20" i="48"/>
  <c r="S20" i="48"/>
  <c r="R20" i="48"/>
  <c r="Q20" i="48"/>
  <c r="V19" i="48"/>
  <c r="U19" i="48"/>
  <c r="T19" i="48"/>
  <c r="S19" i="48"/>
  <c r="R19" i="48"/>
  <c r="Q19" i="48"/>
  <c r="V18" i="48"/>
  <c r="U18" i="48"/>
  <c r="T18" i="48"/>
  <c r="S18" i="48"/>
  <c r="R18" i="48"/>
  <c r="Q18" i="48"/>
  <c r="V17" i="48"/>
  <c r="U17" i="48"/>
  <c r="T17" i="48"/>
  <c r="S17" i="48"/>
  <c r="R17" i="48"/>
  <c r="Q17" i="48"/>
  <c r="V16" i="48"/>
  <c r="U16" i="48"/>
  <c r="T16" i="48"/>
  <c r="S16" i="48"/>
  <c r="R16" i="48"/>
  <c r="Q16" i="48"/>
  <c r="V15" i="48"/>
  <c r="U15" i="48"/>
  <c r="T15" i="48"/>
  <c r="S15" i="48"/>
  <c r="R15" i="48"/>
  <c r="Q15" i="48"/>
  <c r="V14" i="48"/>
  <c r="U14" i="48"/>
  <c r="T14" i="48"/>
  <c r="S14" i="48"/>
  <c r="R14" i="48"/>
  <c r="Q14" i="48"/>
  <c r="V13" i="48"/>
  <c r="U13" i="48"/>
  <c r="T13" i="48"/>
  <c r="S13" i="48"/>
  <c r="R13" i="48"/>
  <c r="Q13" i="48"/>
  <c r="V12" i="48"/>
  <c r="U12" i="48"/>
  <c r="T12" i="48"/>
  <c r="S12" i="48"/>
  <c r="R12" i="48"/>
  <c r="Q12" i="48"/>
  <c r="V11" i="48"/>
  <c r="U11" i="48"/>
  <c r="T11" i="48"/>
  <c r="S11" i="48"/>
  <c r="R11" i="48"/>
  <c r="Q11" i="48"/>
  <c r="V10" i="48"/>
  <c r="U10" i="48"/>
  <c r="T10" i="48"/>
  <c r="S10" i="48"/>
  <c r="R10" i="48"/>
  <c r="Q10" i="48"/>
  <c r="V9" i="48"/>
  <c r="U9" i="48"/>
  <c r="T9" i="48"/>
  <c r="S9" i="48"/>
  <c r="R9" i="48"/>
  <c r="Q9" i="48"/>
  <c r="V8" i="48"/>
  <c r="U8" i="48"/>
  <c r="T8" i="48"/>
  <c r="S8" i="48"/>
  <c r="R8" i="48"/>
  <c r="Q8" i="48"/>
  <c r="V7" i="48"/>
  <c r="U7" i="48"/>
  <c r="T7" i="48"/>
  <c r="S7" i="48"/>
  <c r="R7" i="48"/>
  <c r="Q7" i="48"/>
  <c r="V6" i="48"/>
  <c r="U6" i="48"/>
  <c r="T6" i="48"/>
  <c r="S6" i="48"/>
  <c r="R6" i="48"/>
  <c r="Q6" i="48"/>
  <c r="N22" i="48"/>
  <c r="M22" i="48"/>
  <c r="L22" i="48"/>
  <c r="K22" i="48"/>
  <c r="J22" i="48"/>
  <c r="I22" i="48"/>
  <c r="N21" i="48"/>
  <c r="M21" i="48"/>
  <c r="L21" i="48"/>
  <c r="K21" i="48"/>
  <c r="J21" i="48"/>
  <c r="I21" i="48"/>
  <c r="N20" i="48"/>
  <c r="M20" i="48"/>
  <c r="L20" i="48"/>
  <c r="K20" i="48"/>
  <c r="J20" i="48"/>
  <c r="I20" i="48"/>
  <c r="N19" i="48"/>
  <c r="M19" i="48"/>
  <c r="L19" i="48"/>
  <c r="K19" i="48"/>
  <c r="J19" i="48"/>
  <c r="I19" i="48"/>
  <c r="N18" i="48"/>
  <c r="M18" i="48"/>
  <c r="L18" i="48"/>
  <c r="K18" i="48"/>
  <c r="J18" i="48"/>
  <c r="I18" i="48"/>
  <c r="N17" i="48"/>
  <c r="M17" i="48"/>
  <c r="L17" i="48"/>
  <c r="K17" i="48"/>
  <c r="J17" i="48"/>
  <c r="I17" i="48"/>
  <c r="N16" i="48"/>
  <c r="M16" i="48"/>
  <c r="L16" i="48"/>
  <c r="K16" i="48"/>
  <c r="J16" i="48"/>
  <c r="I16" i="48"/>
  <c r="N15" i="48"/>
  <c r="M15" i="48"/>
  <c r="L15" i="48"/>
  <c r="K15" i="48"/>
  <c r="J15" i="48"/>
  <c r="I15" i="48"/>
  <c r="N14" i="48"/>
  <c r="M14" i="48"/>
  <c r="L14" i="48"/>
  <c r="K14" i="48"/>
  <c r="J14" i="48"/>
  <c r="I14" i="48"/>
  <c r="N13" i="48"/>
  <c r="M13" i="48"/>
  <c r="L13" i="48"/>
  <c r="K13" i="48"/>
  <c r="J13" i="48"/>
  <c r="I13" i="48"/>
  <c r="N12" i="48"/>
  <c r="M12" i="48"/>
  <c r="L12" i="48"/>
  <c r="K12" i="48"/>
  <c r="J12" i="48"/>
  <c r="I12" i="48"/>
  <c r="N11" i="48"/>
  <c r="M11" i="48"/>
  <c r="L11" i="48"/>
  <c r="K11" i="48"/>
  <c r="J11" i="48"/>
  <c r="I11" i="48"/>
  <c r="N10" i="48"/>
  <c r="M10" i="48"/>
  <c r="L10" i="48"/>
  <c r="K10" i="48"/>
  <c r="J10" i="48"/>
  <c r="I10" i="48"/>
  <c r="N9" i="48"/>
  <c r="M9" i="48"/>
  <c r="L9" i="48"/>
  <c r="K9" i="48"/>
  <c r="J9" i="48"/>
  <c r="I9" i="48"/>
  <c r="N8" i="48"/>
  <c r="M8" i="48"/>
  <c r="L8" i="48"/>
  <c r="K8" i="48"/>
  <c r="J8" i="48"/>
  <c r="I8" i="48"/>
  <c r="N7" i="48"/>
  <c r="M7" i="48"/>
  <c r="L7" i="48"/>
  <c r="K7" i="48"/>
  <c r="J7" i="48"/>
  <c r="I7" i="48"/>
  <c r="N6" i="48"/>
  <c r="M6" i="48"/>
  <c r="L6" i="48"/>
  <c r="K6" i="48"/>
  <c r="J6" i="48"/>
  <c r="I6" i="48"/>
  <c r="F22" i="48"/>
  <c r="E22" i="48"/>
  <c r="D22" i="48"/>
  <c r="C22" i="48"/>
  <c r="B22" i="48"/>
  <c r="A22" i="48"/>
  <c r="F21" i="48"/>
  <c r="E21" i="48"/>
  <c r="D21" i="48"/>
  <c r="C21" i="48"/>
  <c r="B21" i="48"/>
  <c r="A21" i="48"/>
  <c r="F20" i="48"/>
  <c r="E20" i="48"/>
  <c r="D20" i="48"/>
  <c r="C20" i="48"/>
  <c r="B20" i="48"/>
  <c r="A20" i="48"/>
  <c r="F19" i="48"/>
  <c r="E19" i="48"/>
  <c r="D19" i="48"/>
  <c r="C19" i="48"/>
  <c r="B19" i="48"/>
  <c r="A19" i="48"/>
  <c r="F18" i="48"/>
  <c r="E18" i="48"/>
  <c r="D18" i="48"/>
  <c r="C18" i="48"/>
  <c r="B18" i="48"/>
  <c r="A18" i="48"/>
  <c r="F17" i="48"/>
  <c r="E17" i="48"/>
  <c r="D17" i="48"/>
  <c r="C17" i="48"/>
  <c r="B17" i="48"/>
  <c r="A17" i="48"/>
  <c r="F16" i="48"/>
  <c r="E16" i="48"/>
  <c r="D16" i="48"/>
  <c r="C16" i="48"/>
  <c r="B16" i="48"/>
  <c r="A16" i="48"/>
  <c r="F15" i="48"/>
  <c r="E15" i="48"/>
  <c r="D15" i="48"/>
  <c r="C15" i="48"/>
  <c r="B15" i="48"/>
  <c r="A15" i="48"/>
  <c r="F14" i="48"/>
  <c r="E14" i="48"/>
  <c r="D14" i="48"/>
  <c r="C14" i="48"/>
  <c r="B14" i="48"/>
  <c r="A14" i="48"/>
  <c r="F13" i="48"/>
  <c r="E13" i="48"/>
  <c r="D13" i="48"/>
  <c r="C13" i="48"/>
  <c r="B13" i="48"/>
  <c r="A13" i="48"/>
  <c r="F12" i="48"/>
  <c r="E12" i="48"/>
  <c r="D12" i="48"/>
  <c r="C12" i="48"/>
  <c r="B12" i="48"/>
  <c r="A12" i="48"/>
  <c r="F11" i="48"/>
  <c r="E11" i="48"/>
  <c r="D11" i="48"/>
  <c r="C11" i="48"/>
  <c r="B11" i="48"/>
  <c r="A11" i="48"/>
  <c r="F10" i="48"/>
  <c r="E10" i="48"/>
  <c r="D10" i="48"/>
  <c r="C10" i="48"/>
  <c r="B10" i="48"/>
  <c r="A10" i="48"/>
  <c r="F9" i="48"/>
  <c r="E9" i="48"/>
  <c r="D9" i="48"/>
  <c r="C9" i="48"/>
  <c r="B9" i="48"/>
  <c r="A9" i="48"/>
  <c r="F8" i="48"/>
  <c r="E8" i="48"/>
  <c r="D8" i="48"/>
  <c r="C8" i="48"/>
  <c r="B8" i="48"/>
  <c r="A8" i="48"/>
  <c r="F7" i="48"/>
  <c r="E7" i="48"/>
  <c r="D7" i="48"/>
  <c r="C7" i="48"/>
  <c r="B7" i="48"/>
  <c r="A7" i="48"/>
  <c r="F6" i="48"/>
  <c r="E6" i="48"/>
  <c r="D6" i="48"/>
  <c r="C6" i="48"/>
  <c r="B6" i="48"/>
  <c r="A6" i="48"/>
  <c r="F22" i="47"/>
  <c r="E22" i="47"/>
  <c r="D22" i="47"/>
  <c r="C22" i="47"/>
  <c r="B22" i="47"/>
  <c r="A22" i="47"/>
  <c r="F21" i="47"/>
  <c r="E21" i="47"/>
  <c r="D21" i="47"/>
  <c r="C21" i="47"/>
  <c r="B21" i="47"/>
  <c r="A21" i="47"/>
  <c r="F20" i="47"/>
  <c r="E20" i="47"/>
  <c r="D20" i="47"/>
  <c r="C20" i="47"/>
  <c r="B20" i="47"/>
  <c r="A20" i="47"/>
  <c r="F19" i="47"/>
  <c r="E19" i="47"/>
  <c r="D19" i="47"/>
  <c r="C19" i="47"/>
  <c r="B19" i="47"/>
  <c r="A19" i="47"/>
  <c r="F18" i="47"/>
  <c r="E18" i="47"/>
  <c r="D18" i="47"/>
  <c r="C18" i="47"/>
  <c r="B18" i="47"/>
  <c r="A18" i="47"/>
  <c r="F17" i="47"/>
  <c r="E17" i="47"/>
  <c r="D17" i="47"/>
  <c r="C17" i="47"/>
  <c r="B17" i="47"/>
  <c r="A17" i="47"/>
  <c r="F16" i="47"/>
  <c r="E16" i="47"/>
  <c r="D16" i="47"/>
  <c r="C16" i="47"/>
  <c r="B16" i="47"/>
  <c r="A16" i="47"/>
  <c r="F15" i="47"/>
  <c r="E15" i="47"/>
  <c r="D15" i="47"/>
  <c r="C15" i="47"/>
  <c r="B15" i="47"/>
  <c r="A15" i="47"/>
  <c r="F14" i="47"/>
  <c r="E14" i="47"/>
  <c r="D14" i="47"/>
  <c r="C14" i="47"/>
  <c r="B14" i="47"/>
  <c r="A14" i="47"/>
  <c r="F13" i="47"/>
  <c r="E13" i="47"/>
  <c r="D13" i="47"/>
  <c r="C13" i="47"/>
  <c r="B13" i="47"/>
  <c r="A13" i="47"/>
  <c r="F12" i="47"/>
  <c r="E12" i="47"/>
  <c r="D12" i="47"/>
  <c r="C12" i="47"/>
  <c r="B12" i="47"/>
  <c r="A12" i="47"/>
  <c r="F11" i="47"/>
  <c r="E11" i="47"/>
  <c r="D11" i="47"/>
  <c r="C11" i="47"/>
  <c r="B11" i="47"/>
  <c r="A11" i="47"/>
  <c r="F10" i="47"/>
  <c r="E10" i="47"/>
  <c r="D10" i="47"/>
  <c r="C10" i="47"/>
  <c r="B10" i="47"/>
  <c r="A10" i="47"/>
  <c r="F9" i="47"/>
  <c r="E9" i="47"/>
  <c r="D9" i="47"/>
  <c r="C9" i="47"/>
  <c r="B9" i="47"/>
  <c r="A9" i="47"/>
  <c r="F8" i="47"/>
  <c r="E8" i="47"/>
  <c r="D8" i="47"/>
  <c r="C8" i="47"/>
  <c r="B8" i="47"/>
  <c r="A8" i="47"/>
  <c r="F7" i="47"/>
  <c r="E7" i="47"/>
  <c r="D7" i="47"/>
  <c r="C7" i="47"/>
  <c r="B7" i="47"/>
  <c r="A7" i="47"/>
  <c r="F6" i="47"/>
  <c r="E6" i="47"/>
  <c r="D6" i="47"/>
  <c r="C6" i="47"/>
  <c r="B6" i="47"/>
  <c r="A6" i="47"/>
  <c r="F22" i="46"/>
  <c r="E22" i="46"/>
  <c r="D22" i="46"/>
  <c r="C22" i="46"/>
  <c r="B22" i="46"/>
  <c r="A22" i="46"/>
  <c r="F21" i="46"/>
  <c r="E21" i="46"/>
  <c r="D21" i="46"/>
  <c r="C21" i="46"/>
  <c r="B21" i="46"/>
  <c r="A21" i="46"/>
  <c r="F20" i="46"/>
  <c r="E20" i="46"/>
  <c r="D20" i="46"/>
  <c r="C20" i="46"/>
  <c r="B20" i="46"/>
  <c r="A20" i="46"/>
  <c r="F19" i="46"/>
  <c r="E19" i="46"/>
  <c r="D19" i="46"/>
  <c r="C19" i="46"/>
  <c r="B19" i="46"/>
  <c r="A19" i="46"/>
  <c r="F18" i="46"/>
  <c r="E18" i="46"/>
  <c r="D18" i="46"/>
  <c r="C18" i="46"/>
  <c r="B18" i="46"/>
  <c r="A18" i="46"/>
  <c r="F17" i="46"/>
  <c r="E17" i="46"/>
  <c r="D17" i="46"/>
  <c r="C17" i="46"/>
  <c r="B17" i="46"/>
  <c r="A17" i="46"/>
  <c r="F16" i="46"/>
  <c r="E16" i="46"/>
  <c r="D16" i="46"/>
  <c r="C16" i="46"/>
  <c r="B16" i="46"/>
  <c r="A16" i="46"/>
  <c r="F15" i="46"/>
  <c r="E15" i="46"/>
  <c r="D15" i="46"/>
  <c r="C15" i="46"/>
  <c r="B15" i="46"/>
  <c r="A15" i="46"/>
  <c r="F14" i="46"/>
  <c r="E14" i="46"/>
  <c r="D14" i="46"/>
  <c r="C14" i="46"/>
  <c r="B14" i="46"/>
  <c r="A14" i="46"/>
  <c r="F13" i="46"/>
  <c r="E13" i="46"/>
  <c r="D13" i="46"/>
  <c r="C13" i="46"/>
  <c r="B13" i="46"/>
  <c r="A13" i="46"/>
  <c r="F12" i="46"/>
  <c r="E12" i="46"/>
  <c r="D12" i="46"/>
  <c r="C12" i="46"/>
  <c r="B12" i="46"/>
  <c r="A12" i="46"/>
  <c r="F11" i="46"/>
  <c r="E11" i="46"/>
  <c r="D11" i="46"/>
  <c r="C11" i="46"/>
  <c r="B11" i="46"/>
  <c r="A11" i="46"/>
  <c r="F10" i="46"/>
  <c r="E10" i="46"/>
  <c r="D10" i="46"/>
  <c r="C10" i="46"/>
  <c r="B10" i="46"/>
  <c r="A10" i="46"/>
  <c r="F9" i="46"/>
  <c r="E9" i="46"/>
  <c r="D9" i="46"/>
  <c r="C9" i="46"/>
  <c r="B9" i="46"/>
  <c r="A9" i="46"/>
  <c r="F8" i="46"/>
  <c r="E8" i="46"/>
  <c r="D8" i="46"/>
  <c r="C8" i="46"/>
  <c r="B8" i="46"/>
  <c r="A8" i="46"/>
  <c r="F7" i="46"/>
  <c r="E7" i="46"/>
  <c r="D7" i="46"/>
  <c r="C7" i="46"/>
  <c r="B7" i="46"/>
  <c r="A7" i="46"/>
  <c r="F6" i="46"/>
  <c r="E6" i="46"/>
  <c r="D6" i="46"/>
  <c r="C6" i="46"/>
  <c r="B6" i="46"/>
  <c r="A6" i="46"/>
  <c r="V22" i="45"/>
  <c r="U22" i="45"/>
  <c r="T22" i="45"/>
  <c r="S22" i="45"/>
  <c r="R22" i="45"/>
  <c r="Q22" i="45"/>
  <c r="V21" i="45"/>
  <c r="U21" i="45"/>
  <c r="T21" i="45"/>
  <c r="S21" i="45"/>
  <c r="R21" i="45"/>
  <c r="Q21" i="45"/>
  <c r="V20" i="45"/>
  <c r="U20" i="45"/>
  <c r="T20" i="45"/>
  <c r="S20" i="45"/>
  <c r="R20" i="45"/>
  <c r="Q20" i="45"/>
  <c r="V19" i="45"/>
  <c r="U19" i="45"/>
  <c r="T19" i="45"/>
  <c r="S19" i="45"/>
  <c r="R19" i="45"/>
  <c r="Q19" i="45"/>
  <c r="V18" i="45"/>
  <c r="U18" i="45"/>
  <c r="T18" i="45"/>
  <c r="S18" i="45"/>
  <c r="R18" i="45"/>
  <c r="Q18" i="45"/>
  <c r="V17" i="45"/>
  <c r="U17" i="45"/>
  <c r="T17" i="45"/>
  <c r="S17" i="45"/>
  <c r="R17" i="45"/>
  <c r="Q17" i="45"/>
  <c r="V16" i="45"/>
  <c r="U16" i="45"/>
  <c r="T16" i="45"/>
  <c r="S16" i="45"/>
  <c r="R16" i="45"/>
  <c r="Q16" i="45"/>
  <c r="V15" i="45"/>
  <c r="U15" i="45"/>
  <c r="T15" i="45"/>
  <c r="S15" i="45"/>
  <c r="R15" i="45"/>
  <c r="Q15" i="45"/>
  <c r="V14" i="45"/>
  <c r="U14" i="45"/>
  <c r="T14" i="45"/>
  <c r="S14" i="45"/>
  <c r="R14" i="45"/>
  <c r="Q14" i="45"/>
  <c r="V13" i="45"/>
  <c r="U13" i="45"/>
  <c r="T13" i="45"/>
  <c r="S13" i="45"/>
  <c r="R13" i="45"/>
  <c r="Q13" i="45"/>
  <c r="V12" i="45"/>
  <c r="U12" i="45"/>
  <c r="T12" i="45"/>
  <c r="S12" i="45"/>
  <c r="R12" i="45"/>
  <c r="Q12" i="45"/>
  <c r="V11" i="45"/>
  <c r="U11" i="45"/>
  <c r="T11" i="45"/>
  <c r="S11" i="45"/>
  <c r="R11" i="45"/>
  <c r="Q11" i="45"/>
  <c r="V10" i="45"/>
  <c r="U10" i="45"/>
  <c r="T10" i="45"/>
  <c r="S10" i="45"/>
  <c r="R10" i="45"/>
  <c r="Q10" i="45"/>
  <c r="V9" i="45"/>
  <c r="U9" i="45"/>
  <c r="T9" i="45"/>
  <c r="S9" i="45"/>
  <c r="R9" i="45"/>
  <c r="Q9" i="45"/>
  <c r="V8" i="45"/>
  <c r="U8" i="45"/>
  <c r="T8" i="45"/>
  <c r="S8" i="45"/>
  <c r="R8" i="45"/>
  <c r="Q8" i="45"/>
  <c r="V7" i="45"/>
  <c r="U7" i="45"/>
  <c r="T7" i="45"/>
  <c r="S7" i="45"/>
  <c r="R7" i="45"/>
  <c r="Q7" i="45"/>
  <c r="V6" i="45"/>
  <c r="U6" i="45"/>
  <c r="T6" i="45"/>
  <c r="S6" i="45"/>
  <c r="R6" i="45"/>
  <c r="Q6" i="45"/>
  <c r="N22" i="45"/>
  <c r="M22" i="45"/>
  <c r="L22" i="45"/>
  <c r="K22" i="45"/>
  <c r="J22" i="45"/>
  <c r="I22" i="45"/>
  <c r="N21" i="45"/>
  <c r="M21" i="45"/>
  <c r="L21" i="45"/>
  <c r="K21" i="45"/>
  <c r="J21" i="45"/>
  <c r="I21" i="45"/>
  <c r="N20" i="45"/>
  <c r="M20" i="45"/>
  <c r="L20" i="45"/>
  <c r="K20" i="45"/>
  <c r="J20" i="45"/>
  <c r="I20" i="45"/>
  <c r="N19" i="45"/>
  <c r="M19" i="45"/>
  <c r="L19" i="45"/>
  <c r="K19" i="45"/>
  <c r="J19" i="45"/>
  <c r="I19" i="45"/>
  <c r="N18" i="45"/>
  <c r="M18" i="45"/>
  <c r="L18" i="45"/>
  <c r="K18" i="45"/>
  <c r="J18" i="45"/>
  <c r="I18" i="45"/>
  <c r="N17" i="45"/>
  <c r="M17" i="45"/>
  <c r="L17" i="45"/>
  <c r="K17" i="45"/>
  <c r="J17" i="45"/>
  <c r="I17" i="45"/>
  <c r="N16" i="45"/>
  <c r="M16" i="45"/>
  <c r="L16" i="45"/>
  <c r="K16" i="45"/>
  <c r="J16" i="45"/>
  <c r="I16" i="45"/>
  <c r="N15" i="45"/>
  <c r="M15" i="45"/>
  <c r="L15" i="45"/>
  <c r="K15" i="45"/>
  <c r="J15" i="45"/>
  <c r="I15" i="45"/>
  <c r="N14" i="45"/>
  <c r="M14" i="45"/>
  <c r="L14" i="45"/>
  <c r="K14" i="45"/>
  <c r="J14" i="45"/>
  <c r="I14" i="45"/>
  <c r="N13" i="45"/>
  <c r="M13" i="45"/>
  <c r="L13" i="45"/>
  <c r="K13" i="45"/>
  <c r="J13" i="45"/>
  <c r="I13" i="45"/>
  <c r="N12" i="45"/>
  <c r="M12" i="45"/>
  <c r="L12" i="45"/>
  <c r="K12" i="45"/>
  <c r="J12" i="45"/>
  <c r="I12" i="45"/>
  <c r="N11" i="45"/>
  <c r="M11" i="45"/>
  <c r="L11" i="45"/>
  <c r="K11" i="45"/>
  <c r="J11" i="45"/>
  <c r="I11" i="45"/>
  <c r="N10" i="45"/>
  <c r="M10" i="45"/>
  <c r="L10" i="45"/>
  <c r="K10" i="45"/>
  <c r="J10" i="45"/>
  <c r="I10" i="45"/>
  <c r="N9" i="45"/>
  <c r="M9" i="45"/>
  <c r="L9" i="45"/>
  <c r="K9" i="45"/>
  <c r="J9" i="45"/>
  <c r="I9" i="45"/>
  <c r="N8" i="45"/>
  <c r="M8" i="45"/>
  <c r="L8" i="45"/>
  <c r="K8" i="45"/>
  <c r="J8" i="45"/>
  <c r="I8" i="45"/>
  <c r="N7" i="45"/>
  <c r="M7" i="45"/>
  <c r="L7" i="45"/>
  <c r="K7" i="45"/>
  <c r="J7" i="45"/>
  <c r="I7" i="45"/>
  <c r="N6" i="45"/>
  <c r="M6" i="45"/>
  <c r="L6" i="45"/>
  <c r="K6" i="45"/>
  <c r="J6" i="45"/>
  <c r="I6" i="45"/>
  <c r="F22" i="45"/>
  <c r="E22" i="45"/>
  <c r="D22" i="45"/>
  <c r="C22" i="45"/>
  <c r="B22" i="45"/>
  <c r="A22" i="45"/>
  <c r="F21" i="45"/>
  <c r="E21" i="45"/>
  <c r="D21" i="45"/>
  <c r="C21" i="45"/>
  <c r="B21" i="45"/>
  <c r="A21" i="45"/>
  <c r="F20" i="45"/>
  <c r="E20" i="45"/>
  <c r="D20" i="45"/>
  <c r="C20" i="45"/>
  <c r="B20" i="45"/>
  <c r="A20" i="45"/>
  <c r="F19" i="45"/>
  <c r="E19" i="45"/>
  <c r="D19" i="45"/>
  <c r="C19" i="45"/>
  <c r="B19" i="45"/>
  <c r="A19" i="45"/>
  <c r="F18" i="45"/>
  <c r="E18" i="45"/>
  <c r="D18" i="45"/>
  <c r="C18" i="45"/>
  <c r="B18" i="45"/>
  <c r="A18" i="45"/>
  <c r="F17" i="45"/>
  <c r="E17" i="45"/>
  <c r="D17" i="45"/>
  <c r="C17" i="45"/>
  <c r="B17" i="45"/>
  <c r="A17" i="45"/>
  <c r="F16" i="45"/>
  <c r="E16" i="45"/>
  <c r="D16" i="45"/>
  <c r="C16" i="45"/>
  <c r="B16" i="45"/>
  <c r="A16" i="45"/>
  <c r="F15" i="45"/>
  <c r="E15" i="45"/>
  <c r="D15" i="45"/>
  <c r="C15" i="45"/>
  <c r="B15" i="45"/>
  <c r="A15" i="45"/>
  <c r="F14" i="45"/>
  <c r="E14" i="45"/>
  <c r="D14" i="45"/>
  <c r="C14" i="45"/>
  <c r="B14" i="45"/>
  <c r="A14" i="45"/>
  <c r="F13" i="45"/>
  <c r="E13" i="45"/>
  <c r="D13" i="45"/>
  <c r="C13" i="45"/>
  <c r="B13" i="45"/>
  <c r="A13" i="45"/>
  <c r="F12" i="45"/>
  <c r="E12" i="45"/>
  <c r="D12" i="45"/>
  <c r="C12" i="45"/>
  <c r="B12" i="45"/>
  <c r="A12" i="45"/>
  <c r="F11" i="45"/>
  <c r="E11" i="45"/>
  <c r="D11" i="45"/>
  <c r="C11" i="45"/>
  <c r="B11" i="45"/>
  <c r="A11" i="45"/>
  <c r="F10" i="45"/>
  <c r="E10" i="45"/>
  <c r="D10" i="45"/>
  <c r="C10" i="45"/>
  <c r="B10" i="45"/>
  <c r="A10" i="45"/>
  <c r="F9" i="45"/>
  <c r="E9" i="45"/>
  <c r="D9" i="45"/>
  <c r="C9" i="45"/>
  <c r="B9" i="45"/>
  <c r="A9" i="45"/>
  <c r="F8" i="45"/>
  <c r="E8" i="45"/>
  <c r="D8" i="45"/>
  <c r="C8" i="45"/>
  <c r="B8" i="45"/>
  <c r="A8" i="45"/>
  <c r="F7" i="45"/>
  <c r="E7" i="45"/>
  <c r="D7" i="45"/>
  <c r="C7" i="45"/>
  <c r="B7" i="45"/>
  <c r="A7" i="45"/>
  <c r="F6" i="45"/>
  <c r="E6" i="45"/>
  <c r="D6" i="45"/>
  <c r="C6" i="45"/>
  <c r="B6" i="45"/>
  <c r="A6" i="45"/>
  <c r="V22" i="44"/>
  <c r="U22" i="44"/>
  <c r="T22" i="44"/>
  <c r="S22" i="44"/>
  <c r="R22" i="44"/>
  <c r="Q22" i="44"/>
  <c r="V21" i="44"/>
  <c r="U21" i="44"/>
  <c r="T21" i="44"/>
  <c r="S21" i="44"/>
  <c r="R21" i="44"/>
  <c r="Q21" i="44"/>
  <c r="V20" i="44"/>
  <c r="U20" i="44"/>
  <c r="T20" i="44"/>
  <c r="S20" i="44"/>
  <c r="R20" i="44"/>
  <c r="Q20" i="44"/>
  <c r="V19" i="44"/>
  <c r="U19" i="44"/>
  <c r="T19" i="44"/>
  <c r="S19" i="44"/>
  <c r="R19" i="44"/>
  <c r="Q19" i="44"/>
  <c r="V18" i="44"/>
  <c r="U18" i="44"/>
  <c r="T18" i="44"/>
  <c r="S18" i="44"/>
  <c r="R18" i="44"/>
  <c r="Q18" i="44"/>
  <c r="V17" i="44"/>
  <c r="U17" i="44"/>
  <c r="T17" i="44"/>
  <c r="S17" i="44"/>
  <c r="R17" i="44"/>
  <c r="Q17" i="44"/>
  <c r="V16" i="44"/>
  <c r="U16" i="44"/>
  <c r="T16" i="44"/>
  <c r="S16" i="44"/>
  <c r="R16" i="44"/>
  <c r="Q16" i="44"/>
  <c r="V15" i="44"/>
  <c r="U15" i="44"/>
  <c r="T15" i="44"/>
  <c r="S15" i="44"/>
  <c r="R15" i="44"/>
  <c r="Q15" i="44"/>
  <c r="V14" i="44"/>
  <c r="U14" i="44"/>
  <c r="T14" i="44"/>
  <c r="S14" i="44"/>
  <c r="R14" i="44"/>
  <c r="Q14" i="44"/>
  <c r="V13" i="44"/>
  <c r="U13" i="44"/>
  <c r="T13" i="44"/>
  <c r="S13" i="44"/>
  <c r="R13" i="44"/>
  <c r="Q13" i="44"/>
  <c r="V12" i="44"/>
  <c r="U12" i="44"/>
  <c r="T12" i="44"/>
  <c r="S12" i="44"/>
  <c r="R12" i="44"/>
  <c r="Q12" i="44"/>
  <c r="V11" i="44"/>
  <c r="U11" i="44"/>
  <c r="T11" i="44"/>
  <c r="S11" i="44"/>
  <c r="R11" i="44"/>
  <c r="Q11" i="44"/>
  <c r="V10" i="44"/>
  <c r="U10" i="44"/>
  <c r="T10" i="44"/>
  <c r="S10" i="44"/>
  <c r="R10" i="44"/>
  <c r="Q10" i="44"/>
  <c r="V9" i="44"/>
  <c r="U9" i="44"/>
  <c r="T9" i="44"/>
  <c r="S9" i="44"/>
  <c r="R9" i="44"/>
  <c r="Q9" i="44"/>
  <c r="V8" i="44"/>
  <c r="U8" i="44"/>
  <c r="T8" i="44"/>
  <c r="S8" i="44"/>
  <c r="R8" i="44"/>
  <c r="Q8" i="44"/>
  <c r="V7" i="44"/>
  <c r="U7" i="44"/>
  <c r="T7" i="44"/>
  <c r="S7" i="44"/>
  <c r="R7" i="44"/>
  <c r="Q7" i="44"/>
  <c r="V6" i="44"/>
  <c r="U6" i="44"/>
  <c r="T6" i="44"/>
  <c r="S6" i="44"/>
  <c r="R6" i="44"/>
  <c r="Q6" i="44"/>
  <c r="N22" i="44"/>
  <c r="M22" i="44"/>
  <c r="L22" i="44"/>
  <c r="K22" i="44"/>
  <c r="J22" i="44"/>
  <c r="I22" i="44"/>
  <c r="N21" i="44"/>
  <c r="M21" i="44"/>
  <c r="L21" i="44"/>
  <c r="K21" i="44"/>
  <c r="J21" i="44"/>
  <c r="I21" i="44"/>
  <c r="N20" i="44"/>
  <c r="M20" i="44"/>
  <c r="L20" i="44"/>
  <c r="K20" i="44"/>
  <c r="J20" i="44"/>
  <c r="I20" i="44"/>
  <c r="N19" i="44"/>
  <c r="M19" i="44"/>
  <c r="L19" i="44"/>
  <c r="K19" i="44"/>
  <c r="J19" i="44"/>
  <c r="I19" i="44"/>
  <c r="N18" i="44"/>
  <c r="M18" i="44"/>
  <c r="L18" i="44"/>
  <c r="K18" i="44"/>
  <c r="J18" i="44"/>
  <c r="I18" i="44"/>
  <c r="N17" i="44"/>
  <c r="M17" i="44"/>
  <c r="L17" i="44"/>
  <c r="K17" i="44"/>
  <c r="J17" i="44"/>
  <c r="I17" i="44"/>
  <c r="N16" i="44"/>
  <c r="M16" i="44"/>
  <c r="L16" i="44"/>
  <c r="K16" i="44"/>
  <c r="J16" i="44"/>
  <c r="I16" i="44"/>
  <c r="N15" i="44"/>
  <c r="M15" i="44"/>
  <c r="L15" i="44"/>
  <c r="K15" i="44"/>
  <c r="J15" i="44"/>
  <c r="I15" i="44"/>
  <c r="N14" i="44"/>
  <c r="M14" i="44"/>
  <c r="L14" i="44"/>
  <c r="K14" i="44"/>
  <c r="J14" i="44"/>
  <c r="I14" i="44"/>
  <c r="N13" i="44"/>
  <c r="M13" i="44"/>
  <c r="L13" i="44"/>
  <c r="K13" i="44"/>
  <c r="J13" i="44"/>
  <c r="I13" i="44"/>
  <c r="N12" i="44"/>
  <c r="M12" i="44"/>
  <c r="L12" i="44"/>
  <c r="K12" i="44"/>
  <c r="J12" i="44"/>
  <c r="I12" i="44"/>
  <c r="N11" i="44"/>
  <c r="M11" i="44"/>
  <c r="L11" i="44"/>
  <c r="K11" i="44"/>
  <c r="J11" i="44"/>
  <c r="I11" i="44"/>
  <c r="N10" i="44"/>
  <c r="M10" i="44"/>
  <c r="L10" i="44"/>
  <c r="K10" i="44"/>
  <c r="J10" i="44"/>
  <c r="I10" i="44"/>
  <c r="N9" i="44"/>
  <c r="M9" i="44"/>
  <c r="L9" i="44"/>
  <c r="K9" i="44"/>
  <c r="J9" i="44"/>
  <c r="I9" i="44"/>
  <c r="N8" i="44"/>
  <c r="M8" i="44"/>
  <c r="L8" i="44"/>
  <c r="K8" i="44"/>
  <c r="J8" i="44"/>
  <c r="I8" i="44"/>
  <c r="N7" i="44"/>
  <c r="M7" i="44"/>
  <c r="L7" i="44"/>
  <c r="K7" i="44"/>
  <c r="J7" i="44"/>
  <c r="I7" i="44"/>
  <c r="N6" i="44"/>
  <c r="M6" i="44"/>
  <c r="L6" i="44"/>
  <c r="K6" i="44"/>
  <c r="J6" i="44"/>
  <c r="I6" i="44"/>
  <c r="F22" i="44"/>
  <c r="E22" i="44"/>
  <c r="D22" i="44"/>
  <c r="C22" i="44"/>
  <c r="B22" i="44"/>
  <c r="A22" i="44"/>
  <c r="F21" i="44"/>
  <c r="E21" i="44"/>
  <c r="D21" i="44"/>
  <c r="C21" i="44"/>
  <c r="B21" i="44"/>
  <c r="A21" i="44"/>
  <c r="F20" i="44"/>
  <c r="E20" i="44"/>
  <c r="D20" i="44"/>
  <c r="C20" i="44"/>
  <c r="B20" i="44"/>
  <c r="A20" i="44"/>
  <c r="F19" i="44"/>
  <c r="E19" i="44"/>
  <c r="D19" i="44"/>
  <c r="C19" i="44"/>
  <c r="B19" i="44"/>
  <c r="A19" i="44"/>
  <c r="F18" i="44"/>
  <c r="E18" i="44"/>
  <c r="D18" i="44"/>
  <c r="C18" i="44"/>
  <c r="B18" i="44"/>
  <c r="A18" i="44"/>
  <c r="F17" i="44"/>
  <c r="E17" i="44"/>
  <c r="D17" i="44"/>
  <c r="C17" i="44"/>
  <c r="B17" i="44"/>
  <c r="A17" i="44"/>
  <c r="F16" i="44"/>
  <c r="E16" i="44"/>
  <c r="D16" i="44"/>
  <c r="C16" i="44"/>
  <c r="B16" i="44"/>
  <c r="A16" i="44"/>
  <c r="F15" i="44"/>
  <c r="E15" i="44"/>
  <c r="D15" i="44"/>
  <c r="C15" i="44"/>
  <c r="B15" i="44"/>
  <c r="A15" i="44"/>
  <c r="F14" i="44"/>
  <c r="E14" i="44"/>
  <c r="D14" i="44"/>
  <c r="C14" i="44"/>
  <c r="B14" i="44"/>
  <c r="A14" i="44"/>
  <c r="F13" i="44"/>
  <c r="E13" i="44"/>
  <c r="D13" i="44"/>
  <c r="C13" i="44"/>
  <c r="B13" i="44"/>
  <c r="A13" i="44"/>
  <c r="F12" i="44"/>
  <c r="E12" i="44"/>
  <c r="D12" i="44"/>
  <c r="C12" i="44"/>
  <c r="B12" i="44"/>
  <c r="A12" i="44"/>
  <c r="F11" i="44"/>
  <c r="E11" i="44"/>
  <c r="D11" i="44"/>
  <c r="C11" i="44"/>
  <c r="B11" i="44"/>
  <c r="A11" i="44"/>
  <c r="F10" i="44"/>
  <c r="E10" i="44"/>
  <c r="D10" i="44"/>
  <c r="C10" i="44"/>
  <c r="B10" i="44"/>
  <c r="A10" i="44"/>
  <c r="F9" i="44"/>
  <c r="E9" i="44"/>
  <c r="D9" i="44"/>
  <c r="C9" i="44"/>
  <c r="B9" i="44"/>
  <c r="A9" i="44"/>
  <c r="F8" i="44"/>
  <c r="E8" i="44"/>
  <c r="D8" i="44"/>
  <c r="C8" i="44"/>
  <c r="B8" i="44"/>
  <c r="A8" i="44"/>
  <c r="F7" i="44"/>
  <c r="E7" i="44"/>
  <c r="D7" i="44"/>
  <c r="C7" i="44"/>
  <c r="B7" i="44"/>
  <c r="A7" i="44"/>
  <c r="F6" i="44"/>
  <c r="E6" i="44"/>
  <c r="D6" i="44"/>
  <c r="C6" i="44"/>
  <c r="B6" i="44"/>
  <c r="A6" i="44"/>
  <c r="F22" i="43"/>
  <c r="E22" i="43"/>
  <c r="D22" i="43"/>
  <c r="C22" i="43"/>
  <c r="B22" i="43"/>
  <c r="A22" i="43"/>
  <c r="F21" i="43"/>
  <c r="E21" i="43"/>
  <c r="D21" i="43"/>
  <c r="C21" i="43"/>
  <c r="B21" i="43"/>
  <c r="A21" i="43"/>
  <c r="F20" i="43"/>
  <c r="E20" i="43"/>
  <c r="D20" i="43"/>
  <c r="C20" i="43"/>
  <c r="B20" i="43"/>
  <c r="A20" i="43"/>
  <c r="F19" i="43"/>
  <c r="E19" i="43"/>
  <c r="D19" i="43"/>
  <c r="C19" i="43"/>
  <c r="B19" i="43"/>
  <c r="A19" i="43"/>
  <c r="F18" i="43"/>
  <c r="E18" i="43"/>
  <c r="D18" i="43"/>
  <c r="C18" i="43"/>
  <c r="B18" i="43"/>
  <c r="A18" i="43"/>
  <c r="F17" i="43"/>
  <c r="E17" i="43"/>
  <c r="D17" i="43"/>
  <c r="C17" i="43"/>
  <c r="B17" i="43"/>
  <c r="A17" i="43"/>
  <c r="F16" i="43"/>
  <c r="E16" i="43"/>
  <c r="D16" i="43"/>
  <c r="C16" i="43"/>
  <c r="B16" i="43"/>
  <c r="A16" i="43"/>
  <c r="F15" i="43"/>
  <c r="E15" i="43"/>
  <c r="D15" i="43"/>
  <c r="C15" i="43"/>
  <c r="B15" i="43"/>
  <c r="A15" i="43"/>
  <c r="F14" i="43"/>
  <c r="E14" i="43"/>
  <c r="D14" i="43"/>
  <c r="C14" i="43"/>
  <c r="B14" i="43"/>
  <c r="A14" i="43"/>
  <c r="F13" i="43"/>
  <c r="E13" i="43"/>
  <c r="D13" i="43"/>
  <c r="C13" i="43"/>
  <c r="B13" i="43"/>
  <c r="A13" i="43"/>
  <c r="F12" i="43"/>
  <c r="E12" i="43"/>
  <c r="D12" i="43"/>
  <c r="C12" i="43"/>
  <c r="B12" i="43"/>
  <c r="A12" i="43"/>
  <c r="F11" i="43"/>
  <c r="E11" i="43"/>
  <c r="D11" i="43"/>
  <c r="C11" i="43"/>
  <c r="B11" i="43"/>
  <c r="A11" i="43"/>
  <c r="F10" i="43"/>
  <c r="E10" i="43"/>
  <c r="D10" i="43"/>
  <c r="C10" i="43"/>
  <c r="B10" i="43"/>
  <c r="A10" i="43"/>
  <c r="F9" i="43"/>
  <c r="E9" i="43"/>
  <c r="D9" i="43"/>
  <c r="C9" i="43"/>
  <c r="B9" i="43"/>
  <c r="A9" i="43"/>
  <c r="F8" i="43"/>
  <c r="E8" i="43"/>
  <c r="D8" i="43"/>
  <c r="C8" i="43"/>
  <c r="B8" i="43"/>
  <c r="A8" i="43"/>
  <c r="F7" i="43"/>
  <c r="E7" i="43"/>
  <c r="D7" i="43"/>
  <c r="C7" i="43"/>
  <c r="B7" i="43"/>
  <c r="A7" i="43"/>
  <c r="F6" i="43"/>
  <c r="E6" i="43"/>
  <c r="D6" i="43"/>
  <c r="C6" i="43"/>
  <c r="B6" i="43"/>
  <c r="A6" i="43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AD6" i="42"/>
  <c r="AC6" i="42"/>
  <c r="AB6" i="42"/>
  <c r="AA6" i="42"/>
  <c r="Z6" i="42"/>
  <c r="Y6" i="42"/>
  <c r="V22" i="42"/>
  <c r="U22" i="42"/>
  <c r="T22" i="42"/>
  <c r="S22" i="42"/>
  <c r="R22" i="42"/>
  <c r="Q22" i="42"/>
  <c r="V21" i="42"/>
  <c r="U21" i="42"/>
  <c r="T21" i="42"/>
  <c r="S21" i="42"/>
  <c r="R21" i="42"/>
  <c r="Q21" i="42"/>
  <c r="V20" i="42"/>
  <c r="U20" i="42"/>
  <c r="T20" i="42"/>
  <c r="S20" i="42"/>
  <c r="R20" i="42"/>
  <c r="Q20" i="42"/>
  <c r="V19" i="42"/>
  <c r="U19" i="42"/>
  <c r="T19" i="42"/>
  <c r="S19" i="42"/>
  <c r="R19" i="42"/>
  <c r="Q19" i="42"/>
  <c r="V18" i="42"/>
  <c r="U18" i="42"/>
  <c r="T18" i="42"/>
  <c r="S18" i="42"/>
  <c r="R18" i="42"/>
  <c r="Q18" i="42"/>
  <c r="V17" i="42"/>
  <c r="U17" i="42"/>
  <c r="T17" i="42"/>
  <c r="S17" i="42"/>
  <c r="R17" i="42"/>
  <c r="Q17" i="42"/>
  <c r="V16" i="42"/>
  <c r="U16" i="42"/>
  <c r="T16" i="42"/>
  <c r="S16" i="42"/>
  <c r="R16" i="42"/>
  <c r="Q16" i="42"/>
  <c r="V15" i="42"/>
  <c r="U15" i="42"/>
  <c r="T15" i="42"/>
  <c r="S15" i="42"/>
  <c r="R15" i="42"/>
  <c r="Q15" i="42"/>
  <c r="V14" i="42"/>
  <c r="U14" i="42"/>
  <c r="T14" i="42"/>
  <c r="S14" i="42"/>
  <c r="R14" i="42"/>
  <c r="Q14" i="42"/>
  <c r="V13" i="42"/>
  <c r="U13" i="42"/>
  <c r="T13" i="42"/>
  <c r="S13" i="42"/>
  <c r="R13" i="42"/>
  <c r="Q13" i="42"/>
  <c r="V12" i="42"/>
  <c r="U12" i="42"/>
  <c r="T12" i="42"/>
  <c r="S12" i="42"/>
  <c r="R12" i="42"/>
  <c r="Q12" i="42"/>
  <c r="V11" i="42"/>
  <c r="U11" i="42"/>
  <c r="T11" i="42"/>
  <c r="S11" i="42"/>
  <c r="R11" i="42"/>
  <c r="Q11" i="42"/>
  <c r="V10" i="42"/>
  <c r="U10" i="42"/>
  <c r="T10" i="42"/>
  <c r="S10" i="42"/>
  <c r="R10" i="42"/>
  <c r="Q10" i="42"/>
  <c r="V9" i="42"/>
  <c r="U9" i="42"/>
  <c r="T9" i="42"/>
  <c r="S9" i="42"/>
  <c r="R9" i="42"/>
  <c r="Q9" i="42"/>
  <c r="V8" i="42"/>
  <c r="U8" i="42"/>
  <c r="T8" i="42"/>
  <c r="S8" i="42"/>
  <c r="R8" i="42"/>
  <c r="Q8" i="42"/>
  <c r="V7" i="42"/>
  <c r="U7" i="42"/>
  <c r="T7" i="42"/>
  <c r="S7" i="42"/>
  <c r="R7" i="42"/>
  <c r="Q7" i="42"/>
  <c r="V6" i="42"/>
  <c r="U6" i="42"/>
  <c r="T6" i="42"/>
  <c r="S6" i="42"/>
  <c r="R6" i="42"/>
  <c r="Q6" i="42"/>
  <c r="N22" i="42"/>
  <c r="M22" i="42"/>
  <c r="L22" i="42"/>
  <c r="K22" i="42"/>
  <c r="J22" i="42"/>
  <c r="I22" i="42"/>
  <c r="N21" i="42"/>
  <c r="M21" i="42"/>
  <c r="L21" i="42"/>
  <c r="K21" i="42"/>
  <c r="J21" i="42"/>
  <c r="I21" i="42"/>
  <c r="N20" i="42"/>
  <c r="M20" i="42"/>
  <c r="L20" i="42"/>
  <c r="K20" i="42"/>
  <c r="J20" i="42"/>
  <c r="I20" i="42"/>
  <c r="N19" i="42"/>
  <c r="M19" i="42"/>
  <c r="L19" i="42"/>
  <c r="K19" i="42"/>
  <c r="J19" i="42"/>
  <c r="I19" i="42"/>
  <c r="N18" i="42"/>
  <c r="M18" i="42"/>
  <c r="L18" i="42"/>
  <c r="K18" i="42"/>
  <c r="J18" i="42"/>
  <c r="I18" i="42"/>
  <c r="N17" i="42"/>
  <c r="M17" i="42"/>
  <c r="L17" i="42"/>
  <c r="K17" i="42"/>
  <c r="J17" i="42"/>
  <c r="I17" i="42"/>
  <c r="N16" i="42"/>
  <c r="M16" i="42"/>
  <c r="L16" i="42"/>
  <c r="K16" i="42"/>
  <c r="J16" i="42"/>
  <c r="I16" i="42"/>
  <c r="N15" i="42"/>
  <c r="M15" i="42"/>
  <c r="L15" i="42"/>
  <c r="K15" i="42"/>
  <c r="J15" i="42"/>
  <c r="I15" i="42"/>
  <c r="N14" i="42"/>
  <c r="M14" i="42"/>
  <c r="L14" i="42"/>
  <c r="K14" i="42"/>
  <c r="J14" i="42"/>
  <c r="I14" i="42"/>
  <c r="N13" i="42"/>
  <c r="M13" i="42"/>
  <c r="L13" i="42"/>
  <c r="K13" i="42"/>
  <c r="J13" i="42"/>
  <c r="I13" i="42"/>
  <c r="N12" i="42"/>
  <c r="M12" i="42"/>
  <c r="L12" i="42"/>
  <c r="K12" i="42"/>
  <c r="J12" i="42"/>
  <c r="I12" i="42"/>
  <c r="N11" i="42"/>
  <c r="M11" i="42"/>
  <c r="L11" i="42"/>
  <c r="K11" i="42"/>
  <c r="J11" i="42"/>
  <c r="I11" i="42"/>
  <c r="N10" i="42"/>
  <c r="M10" i="42"/>
  <c r="L10" i="42"/>
  <c r="K10" i="42"/>
  <c r="J10" i="42"/>
  <c r="I10" i="42"/>
  <c r="N9" i="42"/>
  <c r="M9" i="42"/>
  <c r="L9" i="42"/>
  <c r="K9" i="42"/>
  <c r="J9" i="42"/>
  <c r="I9" i="42"/>
  <c r="N8" i="42"/>
  <c r="M8" i="42"/>
  <c r="L8" i="42"/>
  <c r="K8" i="42"/>
  <c r="J8" i="42"/>
  <c r="I8" i="42"/>
  <c r="N7" i="42"/>
  <c r="M7" i="42"/>
  <c r="L7" i="42"/>
  <c r="K7" i="42"/>
  <c r="J7" i="42"/>
  <c r="I7" i="42"/>
  <c r="N6" i="42"/>
  <c r="M6" i="42"/>
  <c r="L6" i="42"/>
  <c r="K6" i="42"/>
  <c r="J6" i="42"/>
  <c r="I6" i="42"/>
  <c r="F22" i="42"/>
  <c r="E22" i="42"/>
  <c r="D22" i="42"/>
  <c r="C22" i="42"/>
  <c r="B22" i="42"/>
  <c r="A22" i="42"/>
  <c r="F21" i="42"/>
  <c r="E21" i="42"/>
  <c r="D21" i="42"/>
  <c r="C21" i="42"/>
  <c r="B21" i="42"/>
  <c r="A21" i="42"/>
  <c r="F20" i="42"/>
  <c r="E20" i="42"/>
  <c r="D20" i="42"/>
  <c r="C20" i="42"/>
  <c r="B20" i="42"/>
  <c r="A20" i="42"/>
  <c r="F19" i="42"/>
  <c r="E19" i="42"/>
  <c r="D19" i="42"/>
  <c r="C19" i="42"/>
  <c r="B19" i="42"/>
  <c r="A19" i="42"/>
  <c r="F18" i="42"/>
  <c r="E18" i="42"/>
  <c r="D18" i="42"/>
  <c r="C18" i="42"/>
  <c r="B18" i="42"/>
  <c r="A18" i="42"/>
  <c r="F17" i="42"/>
  <c r="E17" i="42"/>
  <c r="D17" i="42"/>
  <c r="C17" i="42"/>
  <c r="B17" i="42"/>
  <c r="A17" i="42"/>
  <c r="F16" i="42"/>
  <c r="E16" i="42"/>
  <c r="D16" i="42"/>
  <c r="C16" i="42"/>
  <c r="B16" i="42"/>
  <c r="A16" i="42"/>
  <c r="F15" i="42"/>
  <c r="E15" i="42"/>
  <c r="D15" i="42"/>
  <c r="C15" i="42"/>
  <c r="B15" i="42"/>
  <c r="A15" i="42"/>
  <c r="F14" i="42"/>
  <c r="E14" i="42"/>
  <c r="D14" i="42"/>
  <c r="C14" i="42"/>
  <c r="B14" i="42"/>
  <c r="A14" i="42"/>
  <c r="F13" i="42"/>
  <c r="E13" i="42"/>
  <c r="D13" i="42"/>
  <c r="C13" i="42"/>
  <c r="B13" i="42"/>
  <c r="A13" i="42"/>
  <c r="F12" i="42"/>
  <c r="E12" i="42"/>
  <c r="D12" i="42"/>
  <c r="C12" i="42"/>
  <c r="B12" i="42"/>
  <c r="A12" i="42"/>
  <c r="F11" i="42"/>
  <c r="E11" i="42"/>
  <c r="D11" i="42"/>
  <c r="C11" i="42"/>
  <c r="B11" i="42"/>
  <c r="A11" i="42"/>
  <c r="F10" i="42"/>
  <c r="E10" i="42"/>
  <c r="D10" i="42"/>
  <c r="C10" i="42"/>
  <c r="B10" i="42"/>
  <c r="A10" i="42"/>
  <c r="F9" i="42"/>
  <c r="E9" i="42"/>
  <c r="D9" i="42"/>
  <c r="C9" i="42"/>
  <c r="B9" i="42"/>
  <c r="A9" i="42"/>
  <c r="F8" i="42"/>
  <c r="E8" i="42"/>
  <c r="D8" i="42"/>
  <c r="C8" i="42"/>
  <c r="B8" i="42"/>
  <c r="A8" i="42"/>
  <c r="F7" i="42"/>
  <c r="E7" i="42"/>
  <c r="D7" i="42"/>
  <c r="C7" i="42"/>
  <c r="B7" i="42"/>
  <c r="A7" i="42"/>
  <c r="F6" i="42"/>
  <c r="E6" i="42"/>
  <c r="D6" i="42"/>
  <c r="C6" i="42"/>
  <c r="B6" i="42"/>
  <c r="A6" i="42"/>
  <c r="AD22" i="41"/>
  <c r="AC22" i="41"/>
  <c r="AB22" i="41"/>
  <c r="AA22" i="41"/>
  <c r="Z22" i="41"/>
  <c r="Y22" i="41"/>
  <c r="AD21" i="41"/>
  <c r="AC21" i="41"/>
  <c r="AB21" i="41"/>
  <c r="AA21" i="41"/>
  <c r="Z21" i="41"/>
  <c r="Y21" i="41"/>
  <c r="AD20" i="41"/>
  <c r="AC20" i="41"/>
  <c r="AB20" i="41"/>
  <c r="AA20" i="41"/>
  <c r="Z20" i="41"/>
  <c r="Y20" i="41"/>
  <c r="AD19" i="41"/>
  <c r="AC19" i="41"/>
  <c r="AB19" i="41"/>
  <c r="AA19" i="41"/>
  <c r="Z19" i="41"/>
  <c r="Y19" i="41"/>
  <c r="AD18" i="41"/>
  <c r="AC18" i="41"/>
  <c r="AB18" i="41"/>
  <c r="AA18" i="41"/>
  <c r="Z18" i="41"/>
  <c r="Y18" i="41"/>
  <c r="AD17" i="41"/>
  <c r="AC17" i="41"/>
  <c r="AB17" i="41"/>
  <c r="AA17" i="41"/>
  <c r="Z17" i="41"/>
  <c r="Y17" i="41"/>
  <c r="AD16" i="41"/>
  <c r="AC16" i="41"/>
  <c r="AB16" i="41"/>
  <c r="AA16" i="41"/>
  <c r="Z16" i="41"/>
  <c r="Y16" i="41"/>
  <c r="AD15" i="41"/>
  <c r="AC15" i="41"/>
  <c r="AB15" i="41"/>
  <c r="AA15" i="41"/>
  <c r="Z15" i="41"/>
  <c r="Y15" i="41"/>
  <c r="AD14" i="41"/>
  <c r="AC14" i="41"/>
  <c r="AB14" i="41"/>
  <c r="AA14" i="41"/>
  <c r="Z14" i="41"/>
  <c r="Y14" i="41"/>
  <c r="AD13" i="41"/>
  <c r="AC13" i="41"/>
  <c r="AB13" i="41"/>
  <c r="AA13" i="41"/>
  <c r="Z13" i="41"/>
  <c r="Y13" i="41"/>
  <c r="AD12" i="41"/>
  <c r="AC12" i="41"/>
  <c r="AB12" i="41"/>
  <c r="AA12" i="41"/>
  <c r="Z12" i="41"/>
  <c r="Y12" i="41"/>
  <c r="AD11" i="41"/>
  <c r="AC11" i="41"/>
  <c r="AB11" i="41"/>
  <c r="AA11" i="41"/>
  <c r="Z11" i="41"/>
  <c r="Y11" i="41"/>
  <c r="AD10" i="41"/>
  <c r="AC10" i="41"/>
  <c r="AB10" i="41"/>
  <c r="AA10" i="41"/>
  <c r="Z10" i="41"/>
  <c r="Y10" i="41"/>
  <c r="AD9" i="41"/>
  <c r="AC9" i="41"/>
  <c r="AB9" i="41"/>
  <c r="AA9" i="41"/>
  <c r="Z9" i="41"/>
  <c r="Y9" i="41"/>
  <c r="AD8" i="41"/>
  <c r="AC8" i="41"/>
  <c r="AB8" i="41"/>
  <c r="AA8" i="41"/>
  <c r="Z8" i="41"/>
  <c r="Y8" i="41"/>
  <c r="AD7" i="41"/>
  <c r="AC7" i="41"/>
  <c r="AB7" i="41"/>
  <c r="AA7" i="41"/>
  <c r="Z7" i="41"/>
  <c r="Y7" i="41"/>
  <c r="AD6" i="41"/>
  <c r="AC6" i="41"/>
  <c r="AB6" i="41"/>
  <c r="AA6" i="41"/>
  <c r="Z6" i="41"/>
  <c r="Y6" i="41"/>
  <c r="V22" i="41"/>
  <c r="U22" i="41"/>
  <c r="T22" i="41"/>
  <c r="S22" i="41"/>
  <c r="R22" i="41"/>
  <c r="Q22" i="41"/>
  <c r="V21" i="41"/>
  <c r="U21" i="41"/>
  <c r="T21" i="41"/>
  <c r="S21" i="41"/>
  <c r="R21" i="41"/>
  <c r="Q21" i="41"/>
  <c r="V20" i="41"/>
  <c r="U20" i="41"/>
  <c r="T20" i="41"/>
  <c r="S20" i="41"/>
  <c r="R20" i="41"/>
  <c r="Q20" i="41"/>
  <c r="V19" i="41"/>
  <c r="U19" i="41"/>
  <c r="T19" i="41"/>
  <c r="S19" i="41"/>
  <c r="R19" i="41"/>
  <c r="Q19" i="41"/>
  <c r="V18" i="41"/>
  <c r="U18" i="41"/>
  <c r="T18" i="41"/>
  <c r="S18" i="41"/>
  <c r="R18" i="41"/>
  <c r="Q18" i="41"/>
  <c r="V17" i="41"/>
  <c r="U17" i="41"/>
  <c r="T17" i="41"/>
  <c r="S17" i="41"/>
  <c r="R17" i="41"/>
  <c r="Q17" i="41"/>
  <c r="V16" i="41"/>
  <c r="U16" i="41"/>
  <c r="T16" i="41"/>
  <c r="S16" i="41"/>
  <c r="R16" i="41"/>
  <c r="Q16" i="41"/>
  <c r="V15" i="41"/>
  <c r="U15" i="41"/>
  <c r="T15" i="41"/>
  <c r="S15" i="41"/>
  <c r="R15" i="41"/>
  <c r="Q15" i="41"/>
  <c r="V14" i="41"/>
  <c r="U14" i="41"/>
  <c r="T14" i="41"/>
  <c r="S14" i="41"/>
  <c r="R14" i="41"/>
  <c r="Q14" i="41"/>
  <c r="V13" i="41"/>
  <c r="U13" i="41"/>
  <c r="T13" i="41"/>
  <c r="S13" i="41"/>
  <c r="R13" i="41"/>
  <c r="Q13" i="41"/>
  <c r="V12" i="41"/>
  <c r="U12" i="41"/>
  <c r="T12" i="41"/>
  <c r="S12" i="41"/>
  <c r="R12" i="41"/>
  <c r="Q12" i="41"/>
  <c r="V11" i="41"/>
  <c r="U11" i="41"/>
  <c r="T11" i="41"/>
  <c r="S11" i="41"/>
  <c r="R11" i="41"/>
  <c r="Q11" i="41"/>
  <c r="V10" i="41"/>
  <c r="U10" i="41"/>
  <c r="T10" i="41"/>
  <c r="S10" i="41"/>
  <c r="R10" i="41"/>
  <c r="Q10" i="41"/>
  <c r="V9" i="41"/>
  <c r="U9" i="41"/>
  <c r="T9" i="41"/>
  <c r="S9" i="41"/>
  <c r="R9" i="41"/>
  <c r="Q9" i="41"/>
  <c r="V8" i="41"/>
  <c r="U8" i="41"/>
  <c r="T8" i="41"/>
  <c r="S8" i="41"/>
  <c r="R8" i="41"/>
  <c r="Q8" i="41"/>
  <c r="V7" i="41"/>
  <c r="U7" i="41"/>
  <c r="T7" i="41"/>
  <c r="S7" i="41"/>
  <c r="R7" i="41"/>
  <c r="Q7" i="41"/>
  <c r="V6" i="41"/>
  <c r="U6" i="41"/>
  <c r="T6" i="41"/>
  <c r="S6" i="41"/>
  <c r="R6" i="41"/>
  <c r="Q6" i="41"/>
  <c r="N22" i="41"/>
  <c r="M22" i="41"/>
  <c r="L22" i="41"/>
  <c r="K22" i="41"/>
  <c r="J22" i="41"/>
  <c r="I22" i="41"/>
  <c r="N21" i="41"/>
  <c r="M21" i="41"/>
  <c r="L21" i="41"/>
  <c r="K21" i="41"/>
  <c r="J21" i="41"/>
  <c r="I21" i="41"/>
  <c r="N20" i="41"/>
  <c r="M20" i="41"/>
  <c r="L20" i="41"/>
  <c r="K20" i="41"/>
  <c r="J20" i="41"/>
  <c r="I20" i="41"/>
  <c r="N19" i="41"/>
  <c r="M19" i="41"/>
  <c r="L19" i="41"/>
  <c r="K19" i="41"/>
  <c r="J19" i="41"/>
  <c r="I19" i="41"/>
  <c r="N18" i="41"/>
  <c r="M18" i="41"/>
  <c r="L18" i="41"/>
  <c r="K18" i="41"/>
  <c r="J18" i="41"/>
  <c r="I18" i="41"/>
  <c r="N17" i="41"/>
  <c r="M17" i="41"/>
  <c r="L17" i="41"/>
  <c r="K17" i="41"/>
  <c r="J17" i="41"/>
  <c r="I17" i="41"/>
  <c r="N16" i="41"/>
  <c r="M16" i="41"/>
  <c r="L16" i="41"/>
  <c r="K16" i="41"/>
  <c r="J16" i="41"/>
  <c r="I16" i="41"/>
  <c r="N15" i="41"/>
  <c r="M15" i="41"/>
  <c r="L15" i="41"/>
  <c r="K15" i="41"/>
  <c r="J15" i="41"/>
  <c r="I15" i="41"/>
  <c r="N14" i="41"/>
  <c r="M14" i="41"/>
  <c r="L14" i="41"/>
  <c r="K14" i="41"/>
  <c r="J14" i="41"/>
  <c r="I14" i="41"/>
  <c r="N13" i="41"/>
  <c r="M13" i="41"/>
  <c r="L13" i="41"/>
  <c r="K13" i="41"/>
  <c r="J13" i="41"/>
  <c r="I13" i="41"/>
  <c r="N12" i="41"/>
  <c r="M12" i="41"/>
  <c r="L12" i="41"/>
  <c r="K12" i="41"/>
  <c r="J12" i="41"/>
  <c r="I12" i="41"/>
  <c r="N11" i="41"/>
  <c r="M11" i="41"/>
  <c r="L11" i="41"/>
  <c r="K11" i="41"/>
  <c r="J11" i="41"/>
  <c r="I11" i="41"/>
  <c r="N10" i="41"/>
  <c r="M10" i="41"/>
  <c r="L10" i="41"/>
  <c r="K10" i="41"/>
  <c r="J10" i="41"/>
  <c r="I10" i="41"/>
  <c r="N9" i="41"/>
  <c r="M9" i="41"/>
  <c r="L9" i="41"/>
  <c r="K9" i="41"/>
  <c r="J9" i="41"/>
  <c r="I9" i="41"/>
  <c r="N8" i="41"/>
  <c r="M8" i="41"/>
  <c r="L8" i="41"/>
  <c r="K8" i="41"/>
  <c r="J8" i="41"/>
  <c r="I8" i="41"/>
  <c r="N7" i="41"/>
  <c r="M7" i="41"/>
  <c r="L7" i="41"/>
  <c r="K7" i="41"/>
  <c r="J7" i="41"/>
  <c r="I7" i="41"/>
  <c r="N6" i="41"/>
  <c r="M6" i="41"/>
  <c r="L6" i="41"/>
  <c r="K6" i="41"/>
  <c r="J6" i="41"/>
  <c r="I6" i="41"/>
  <c r="F22" i="41"/>
  <c r="E22" i="41"/>
  <c r="D22" i="41"/>
  <c r="C22" i="41"/>
  <c r="B22" i="41"/>
  <c r="A22" i="41"/>
  <c r="F21" i="41"/>
  <c r="E21" i="41"/>
  <c r="D21" i="41"/>
  <c r="C21" i="41"/>
  <c r="B21" i="41"/>
  <c r="A21" i="41"/>
  <c r="F20" i="41"/>
  <c r="E20" i="41"/>
  <c r="D20" i="41"/>
  <c r="C20" i="41"/>
  <c r="B20" i="41"/>
  <c r="A20" i="41"/>
  <c r="F19" i="41"/>
  <c r="E19" i="41"/>
  <c r="D19" i="41"/>
  <c r="C19" i="41"/>
  <c r="B19" i="41"/>
  <c r="A19" i="41"/>
  <c r="F18" i="41"/>
  <c r="E18" i="41"/>
  <c r="D18" i="41"/>
  <c r="C18" i="41"/>
  <c r="B18" i="41"/>
  <c r="A18" i="41"/>
  <c r="F17" i="41"/>
  <c r="E17" i="41"/>
  <c r="D17" i="41"/>
  <c r="C17" i="41"/>
  <c r="B17" i="41"/>
  <c r="A17" i="41"/>
  <c r="F16" i="41"/>
  <c r="E16" i="41"/>
  <c r="D16" i="41"/>
  <c r="C16" i="41"/>
  <c r="B16" i="41"/>
  <c r="A16" i="41"/>
  <c r="F15" i="41"/>
  <c r="E15" i="41"/>
  <c r="D15" i="41"/>
  <c r="C15" i="41"/>
  <c r="B15" i="41"/>
  <c r="A15" i="41"/>
  <c r="F14" i="41"/>
  <c r="E14" i="41"/>
  <c r="D14" i="41"/>
  <c r="C14" i="41"/>
  <c r="B14" i="41"/>
  <c r="A14" i="41"/>
  <c r="F13" i="41"/>
  <c r="E13" i="41"/>
  <c r="D13" i="41"/>
  <c r="C13" i="41"/>
  <c r="B13" i="41"/>
  <c r="A13" i="41"/>
  <c r="F12" i="41"/>
  <c r="E12" i="41"/>
  <c r="D12" i="41"/>
  <c r="C12" i="41"/>
  <c r="B12" i="41"/>
  <c r="A12" i="41"/>
  <c r="F11" i="41"/>
  <c r="E11" i="41"/>
  <c r="D11" i="41"/>
  <c r="C11" i="41"/>
  <c r="B11" i="41"/>
  <c r="A11" i="41"/>
  <c r="F10" i="41"/>
  <c r="E10" i="41"/>
  <c r="D10" i="41"/>
  <c r="C10" i="41"/>
  <c r="B10" i="41"/>
  <c r="A10" i="41"/>
  <c r="F9" i="41"/>
  <c r="E9" i="41"/>
  <c r="D9" i="41"/>
  <c r="C9" i="41"/>
  <c r="B9" i="41"/>
  <c r="A9" i="41"/>
  <c r="F8" i="41"/>
  <c r="E8" i="41"/>
  <c r="D8" i="41"/>
  <c r="C8" i="41"/>
  <c r="B8" i="41"/>
  <c r="A8" i="41"/>
  <c r="F7" i="41"/>
  <c r="E7" i="41"/>
  <c r="D7" i="41"/>
  <c r="C7" i="41"/>
  <c r="B7" i="41"/>
  <c r="A7" i="41"/>
  <c r="F6" i="41"/>
  <c r="E6" i="41"/>
  <c r="D6" i="41"/>
  <c r="C6" i="41"/>
  <c r="B6" i="41"/>
  <c r="A6" i="41"/>
  <c r="F22" i="40"/>
  <c r="E22" i="40"/>
  <c r="D22" i="40"/>
  <c r="C22" i="40"/>
  <c r="B22" i="40"/>
  <c r="A22" i="40"/>
  <c r="F21" i="40"/>
  <c r="E21" i="40"/>
  <c r="D21" i="40"/>
  <c r="C21" i="40"/>
  <c r="B21" i="40"/>
  <c r="A21" i="40"/>
  <c r="F20" i="40"/>
  <c r="E20" i="40"/>
  <c r="D20" i="40"/>
  <c r="C20" i="40"/>
  <c r="B20" i="40"/>
  <c r="A20" i="40"/>
  <c r="F19" i="40"/>
  <c r="E19" i="40"/>
  <c r="D19" i="40"/>
  <c r="C19" i="40"/>
  <c r="B19" i="40"/>
  <c r="A19" i="40"/>
  <c r="F18" i="40"/>
  <c r="E18" i="40"/>
  <c r="D18" i="40"/>
  <c r="C18" i="40"/>
  <c r="B18" i="40"/>
  <c r="A18" i="40"/>
  <c r="F17" i="40"/>
  <c r="E17" i="40"/>
  <c r="D17" i="40"/>
  <c r="C17" i="40"/>
  <c r="B17" i="40"/>
  <c r="A17" i="40"/>
  <c r="F16" i="40"/>
  <c r="E16" i="40"/>
  <c r="D16" i="40"/>
  <c r="C16" i="40"/>
  <c r="B16" i="40"/>
  <c r="A16" i="40"/>
  <c r="F15" i="40"/>
  <c r="E15" i="40"/>
  <c r="D15" i="40"/>
  <c r="C15" i="40"/>
  <c r="B15" i="40"/>
  <c r="A15" i="40"/>
  <c r="F14" i="40"/>
  <c r="E14" i="40"/>
  <c r="D14" i="40"/>
  <c r="C14" i="40"/>
  <c r="B14" i="40"/>
  <c r="A14" i="40"/>
  <c r="F13" i="40"/>
  <c r="E13" i="40"/>
  <c r="D13" i="40"/>
  <c r="C13" i="40"/>
  <c r="B13" i="40"/>
  <c r="A13" i="40"/>
  <c r="F12" i="40"/>
  <c r="E12" i="40"/>
  <c r="D12" i="40"/>
  <c r="C12" i="40"/>
  <c r="B12" i="40"/>
  <c r="A12" i="40"/>
  <c r="F11" i="40"/>
  <c r="E11" i="40"/>
  <c r="D11" i="40"/>
  <c r="C11" i="40"/>
  <c r="B11" i="40"/>
  <c r="A11" i="40"/>
  <c r="F10" i="40"/>
  <c r="E10" i="40"/>
  <c r="D10" i="40"/>
  <c r="C10" i="40"/>
  <c r="B10" i="40"/>
  <c r="A10" i="40"/>
  <c r="F9" i="40"/>
  <c r="E9" i="40"/>
  <c r="D9" i="40"/>
  <c r="C9" i="40"/>
  <c r="B9" i="40"/>
  <c r="A9" i="40"/>
  <c r="F8" i="40"/>
  <c r="E8" i="40"/>
  <c r="D8" i="40"/>
  <c r="C8" i="40"/>
  <c r="B8" i="40"/>
  <c r="A8" i="40"/>
  <c r="F7" i="40"/>
  <c r="E7" i="40"/>
  <c r="D7" i="40"/>
  <c r="C7" i="40"/>
  <c r="B7" i="40"/>
  <c r="A7" i="40"/>
  <c r="F6" i="40"/>
  <c r="E6" i="40"/>
  <c r="D6" i="40"/>
  <c r="C6" i="40"/>
  <c r="B6" i="40"/>
  <c r="A6" i="40"/>
  <c r="N22" i="39"/>
  <c r="M22" i="39"/>
  <c r="L22" i="39"/>
  <c r="K22" i="39"/>
  <c r="J22" i="39"/>
  <c r="I22" i="39"/>
  <c r="N21" i="39"/>
  <c r="M21" i="39"/>
  <c r="L21" i="39"/>
  <c r="K21" i="39"/>
  <c r="J21" i="39"/>
  <c r="I21" i="39"/>
  <c r="N20" i="39"/>
  <c r="M20" i="39"/>
  <c r="L20" i="39"/>
  <c r="K20" i="39"/>
  <c r="J20" i="39"/>
  <c r="I20" i="39"/>
  <c r="N19" i="39"/>
  <c r="M19" i="39"/>
  <c r="L19" i="39"/>
  <c r="K19" i="39"/>
  <c r="J19" i="39"/>
  <c r="I19" i="39"/>
  <c r="N18" i="39"/>
  <c r="M18" i="39"/>
  <c r="L18" i="39"/>
  <c r="K18" i="39"/>
  <c r="J18" i="39"/>
  <c r="I18" i="39"/>
  <c r="N17" i="39"/>
  <c r="M17" i="39"/>
  <c r="L17" i="39"/>
  <c r="K17" i="39"/>
  <c r="J17" i="39"/>
  <c r="I17" i="39"/>
  <c r="N16" i="39"/>
  <c r="M16" i="39"/>
  <c r="L16" i="39"/>
  <c r="K16" i="39"/>
  <c r="J16" i="39"/>
  <c r="I16" i="39"/>
  <c r="N15" i="39"/>
  <c r="M15" i="39"/>
  <c r="L15" i="39"/>
  <c r="K15" i="39"/>
  <c r="J15" i="39"/>
  <c r="I15" i="39"/>
  <c r="N14" i="39"/>
  <c r="M14" i="39"/>
  <c r="L14" i="39"/>
  <c r="K14" i="39"/>
  <c r="J14" i="39"/>
  <c r="I14" i="39"/>
  <c r="N13" i="39"/>
  <c r="M13" i="39"/>
  <c r="L13" i="39"/>
  <c r="K13" i="39"/>
  <c r="J13" i="39"/>
  <c r="I13" i="39"/>
  <c r="N12" i="39"/>
  <c r="M12" i="39"/>
  <c r="L12" i="39"/>
  <c r="K12" i="39"/>
  <c r="J12" i="39"/>
  <c r="I12" i="39"/>
  <c r="N11" i="39"/>
  <c r="M11" i="39"/>
  <c r="L11" i="39"/>
  <c r="K11" i="39"/>
  <c r="J11" i="39"/>
  <c r="I11" i="39"/>
  <c r="N10" i="39"/>
  <c r="M10" i="39"/>
  <c r="L10" i="39"/>
  <c r="K10" i="39"/>
  <c r="J10" i="39"/>
  <c r="I10" i="39"/>
  <c r="N9" i="39"/>
  <c r="M9" i="39"/>
  <c r="L9" i="39"/>
  <c r="K9" i="39"/>
  <c r="J9" i="39"/>
  <c r="I9" i="39"/>
  <c r="N8" i="39"/>
  <c r="M8" i="39"/>
  <c r="L8" i="39"/>
  <c r="K8" i="39"/>
  <c r="J8" i="39"/>
  <c r="I8" i="39"/>
  <c r="N7" i="39"/>
  <c r="M7" i="39"/>
  <c r="L7" i="39"/>
  <c r="K7" i="39"/>
  <c r="J7" i="39"/>
  <c r="I7" i="39"/>
  <c r="N6" i="39"/>
  <c r="M6" i="39"/>
  <c r="L6" i="39"/>
  <c r="K6" i="39"/>
  <c r="J6" i="39"/>
  <c r="I6" i="39"/>
  <c r="F22" i="39"/>
  <c r="E22" i="39"/>
  <c r="D22" i="39"/>
  <c r="C22" i="39"/>
  <c r="B22" i="39"/>
  <c r="A22" i="39"/>
  <c r="F21" i="39"/>
  <c r="E21" i="39"/>
  <c r="D21" i="39"/>
  <c r="C21" i="39"/>
  <c r="B21" i="39"/>
  <c r="A21" i="39"/>
  <c r="F20" i="39"/>
  <c r="E20" i="39"/>
  <c r="D20" i="39"/>
  <c r="C20" i="39"/>
  <c r="B20" i="39"/>
  <c r="A20" i="39"/>
  <c r="F19" i="39"/>
  <c r="E19" i="39"/>
  <c r="D19" i="39"/>
  <c r="C19" i="39"/>
  <c r="B19" i="39"/>
  <c r="A19" i="39"/>
  <c r="F18" i="39"/>
  <c r="E18" i="39"/>
  <c r="D18" i="39"/>
  <c r="C18" i="39"/>
  <c r="B18" i="39"/>
  <c r="A18" i="39"/>
  <c r="F17" i="39"/>
  <c r="E17" i="39"/>
  <c r="D17" i="39"/>
  <c r="C17" i="39"/>
  <c r="B17" i="39"/>
  <c r="A17" i="39"/>
  <c r="F16" i="39"/>
  <c r="E16" i="39"/>
  <c r="D16" i="39"/>
  <c r="C16" i="39"/>
  <c r="B16" i="39"/>
  <c r="A16" i="39"/>
  <c r="F15" i="39"/>
  <c r="E15" i="39"/>
  <c r="D15" i="39"/>
  <c r="C15" i="39"/>
  <c r="B15" i="39"/>
  <c r="A15" i="39"/>
  <c r="F14" i="39"/>
  <c r="E14" i="39"/>
  <c r="D14" i="39"/>
  <c r="C14" i="39"/>
  <c r="B14" i="39"/>
  <c r="A14" i="39"/>
  <c r="F13" i="39"/>
  <c r="E13" i="39"/>
  <c r="D13" i="39"/>
  <c r="C13" i="39"/>
  <c r="B13" i="39"/>
  <c r="A13" i="39"/>
  <c r="F12" i="39"/>
  <c r="E12" i="39"/>
  <c r="D12" i="39"/>
  <c r="C12" i="39"/>
  <c r="B12" i="39"/>
  <c r="A12" i="39"/>
  <c r="F11" i="39"/>
  <c r="E11" i="39"/>
  <c r="D11" i="39"/>
  <c r="C11" i="39"/>
  <c r="B11" i="39"/>
  <c r="A11" i="39"/>
  <c r="F10" i="39"/>
  <c r="E10" i="39"/>
  <c r="D10" i="39"/>
  <c r="C10" i="39"/>
  <c r="B10" i="39"/>
  <c r="A10" i="39"/>
  <c r="F9" i="39"/>
  <c r="E9" i="39"/>
  <c r="D9" i="39"/>
  <c r="C9" i="39"/>
  <c r="B9" i="39"/>
  <c r="A9" i="39"/>
  <c r="F8" i="39"/>
  <c r="E8" i="39"/>
  <c r="D8" i="39"/>
  <c r="C8" i="39"/>
  <c r="B8" i="39"/>
  <c r="A8" i="39"/>
  <c r="F7" i="39"/>
  <c r="E7" i="39"/>
  <c r="D7" i="39"/>
  <c r="C7" i="39"/>
  <c r="B7" i="39"/>
  <c r="A7" i="39"/>
  <c r="F6" i="39"/>
  <c r="E6" i="39"/>
  <c r="D6" i="39"/>
  <c r="C6" i="39"/>
  <c r="B6" i="39"/>
  <c r="A6" i="39"/>
  <c r="F22" i="38"/>
  <c r="E22" i="38"/>
  <c r="D22" i="38"/>
  <c r="C22" i="38"/>
  <c r="B22" i="38"/>
  <c r="A22" i="38"/>
  <c r="F21" i="38"/>
  <c r="E21" i="38"/>
  <c r="D21" i="38"/>
  <c r="C21" i="38"/>
  <c r="B21" i="38"/>
  <c r="A21" i="38"/>
  <c r="F20" i="38"/>
  <c r="E20" i="38"/>
  <c r="D20" i="38"/>
  <c r="C20" i="38"/>
  <c r="B20" i="38"/>
  <c r="A20" i="38"/>
  <c r="F19" i="38"/>
  <c r="E19" i="38"/>
  <c r="D19" i="38"/>
  <c r="C19" i="38"/>
  <c r="B19" i="38"/>
  <c r="A19" i="38"/>
  <c r="F18" i="38"/>
  <c r="E18" i="38"/>
  <c r="D18" i="38"/>
  <c r="C18" i="38"/>
  <c r="B18" i="38"/>
  <c r="A18" i="38"/>
  <c r="F17" i="38"/>
  <c r="E17" i="38"/>
  <c r="D17" i="38"/>
  <c r="C17" i="38"/>
  <c r="B17" i="38"/>
  <c r="A17" i="38"/>
  <c r="F16" i="38"/>
  <c r="E16" i="38"/>
  <c r="D16" i="38"/>
  <c r="C16" i="38"/>
  <c r="B16" i="38"/>
  <c r="A16" i="38"/>
  <c r="F15" i="38"/>
  <c r="E15" i="38"/>
  <c r="D15" i="38"/>
  <c r="C15" i="38"/>
  <c r="B15" i="38"/>
  <c r="A15" i="38"/>
  <c r="F14" i="38"/>
  <c r="E14" i="38"/>
  <c r="D14" i="38"/>
  <c r="C14" i="38"/>
  <c r="B14" i="38"/>
  <c r="A14" i="38"/>
  <c r="F13" i="38"/>
  <c r="E13" i="38"/>
  <c r="D13" i="38"/>
  <c r="C13" i="38"/>
  <c r="B13" i="38"/>
  <c r="A13" i="38"/>
  <c r="F12" i="38"/>
  <c r="E12" i="38"/>
  <c r="D12" i="38"/>
  <c r="C12" i="38"/>
  <c r="B12" i="38"/>
  <c r="A12" i="38"/>
  <c r="F11" i="38"/>
  <c r="E11" i="38"/>
  <c r="D11" i="38"/>
  <c r="C11" i="38"/>
  <c r="B11" i="38"/>
  <c r="A11" i="38"/>
  <c r="F10" i="38"/>
  <c r="E10" i="38"/>
  <c r="D10" i="38"/>
  <c r="C10" i="38"/>
  <c r="B10" i="38"/>
  <c r="A10" i="38"/>
  <c r="F9" i="38"/>
  <c r="E9" i="38"/>
  <c r="D9" i="38"/>
  <c r="C9" i="38"/>
  <c r="B9" i="38"/>
  <c r="A9" i="38"/>
  <c r="F8" i="38"/>
  <c r="E8" i="38"/>
  <c r="D8" i="38"/>
  <c r="C8" i="38"/>
  <c r="B8" i="38"/>
  <c r="A8" i="38"/>
  <c r="F7" i="38"/>
  <c r="E7" i="38"/>
  <c r="D7" i="38"/>
  <c r="C7" i="38"/>
  <c r="B7" i="38"/>
  <c r="A7" i="38"/>
  <c r="F6" i="38"/>
  <c r="E6" i="38"/>
  <c r="D6" i="38"/>
  <c r="C6" i="38"/>
  <c r="B6" i="38"/>
  <c r="A6" i="38"/>
  <c r="F22" i="37"/>
  <c r="E22" i="37"/>
  <c r="D22" i="37"/>
  <c r="C22" i="37"/>
  <c r="B22" i="37"/>
  <c r="A22" i="37"/>
  <c r="F21" i="37"/>
  <c r="E21" i="37"/>
  <c r="D21" i="37"/>
  <c r="C21" i="37"/>
  <c r="B21" i="37"/>
  <c r="A21" i="37"/>
  <c r="F20" i="37"/>
  <c r="E20" i="37"/>
  <c r="D20" i="37"/>
  <c r="C20" i="37"/>
  <c r="B20" i="37"/>
  <c r="A20" i="37"/>
  <c r="F19" i="37"/>
  <c r="E19" i="37"/>
  <c r="D19" i="37"/>
  <c r="C19" i="37"/>
  <c r="B19" i="37"/>
  <c r="A19" i="37"/>
  <c r="F18" i="37"/>
  <c r="E18" i="37"/>
  <c r="D18" i="37"/>
  <c r="C18" i="37"/>
  <c r="B18" i="37"/>
  <c r="A18" i="37"/>
  <c r="F17" i="37"/>
  <c r="E17" i="37"/>
  <c r="D17" i="37"/>
  <c r="C17" i="37"/>
  <c r="B17" i="37"/>
  <c r="A17" i="37"/>
  <c r="F16" i="37"/>
  <c r="E16" i="37"/>
  <c r="D16" i="37"/>
  <c r="C16" i="37"/>
  <c r="B16" i="37"/>
  <c r="A16" i="37"/>
  <c r="F15" i="37"/>
  <c r="E15" i="37"/>
  <c r="D15" i="37"/>
  <c r="C15" i="37"/>
  <c r="B15" i="37"/>
  <c r="A15" i="37"/>
  <c r="F14" i="37"/>
  <c r="E14" i="37"/>
  <c r="D14" i="37"/>
  <c r="C14" i="37"/>
  <c r="B14" i="37"/>
  <c r="A14" i="37"/>
  <c r="F13" i="37"/>
  <c r="E13" i="37"/>
  <c r="D13" i="37"/>
  <c r="C13" i="37"/>
  <c r="B13" i="37"/>
  <c r="A13" i="37"/>
  <c r="F12" i="37"/>
  <c r="E12" i="37"/>
  <c r="D12" i="37"/>
  <c r="C12" i="37"/>
  <c r="B12" i="37"/>
  <c r="A12" i="37"/>
  <c r="F11" i="37"/>
  <c r="E11" i="37"/>
  <c r="D11" i="37"/>
  <c r="C11" i="37"/>
  <c r="B11" i="37"/>
  <c r="A11" i="37"/>
  <c r="F10" i="37"/>
  <c r="E10" i="37"/>
  <c r="D10" i="37"/>
  <c r="C10" i="37"/>
  <c r="B10" i="37"/>
  <c r="A10" i="37"/>
  <c r="F9" i="37"/>
  <c r="E9" i="37"/>
  <c r="D9" i="37"/>
  <c r="C9" i="37"/>
  <c r="B9" i="37"/>
  <c r="A9" i="37"/>
  <c r="F8" i="37"/>
  <c r="E8" i="37"/>
  <c r="D8" i="37"/>
  <c r="C8" i="37"/>
  <c r="B8" i="37"/>
  <c r="A8" i="37"/>
  <c r="F7" i="37"/>
  <c r="E7" i="37"/>
  <c r="D7" i="37"/>
  <c r="C7" i="37"/>
  <c r="B7" i="37"/>
  <c r="A7" i="37"/>
  <c r="F6" i="37"/>
  <c r="E6" i="37"/>
  <c r="D6" i="37"/>
  <c r="C6" i="37"/>
  <c r="B6" i="37"/>
  <c r="A6" i="37"/>
  <c r="F22" i="36"/>
  <c r="E22" i="36"/>
  <c r="D22" i="36"/>
  <c r="C22" i="36"/>
  <c r="B22" i="36"/>
  <c r="A22" i="36"/>
  <c r="F21" i="36"/>
  <c r="E21" i="36"/>
  <c r="D21" i="36"/>
  <c r="C21" i="36"/>
  <c r="B21" i="36"/>
  <c r="A21" i="36"/>
  <c r="F20" i="36"/>
  <c r="E20" i="36"/>
  <c r="D20" i="36"/>
  <c r="C20" i="36"/>
  <c r="B20" i="36"/>
  <c r="A20" i="36"/>
  <c r="F19" i="36"/>
  <c r="E19" i="36"/>
  <c r="D19" i="36"/>
  <c r="C19" i="36"/>
  <c r="B19" i="36"/>
  <c r="A19" i="36"/>
  <c r="F18" i="36"/>
  <c r="E18" i="36"/>
  <c r="D18" i="36"/>
  <c r="C18" i="36"/>
  <c r="B18" i="36"/>
  <c r="A18" i="36"/>
  <c r="F17" i="36"/>
  <c r="E17" i="36"/>
  <c r="D17" i="36"/>
  <c r="C17" i="36"/>
  <c r="B17" i="36"/>
  <c r="A17" i="36"/>
  <c r="F16" i="36"/>
  <c r="E16" i="36"/>
  <c r="D16" i="36"/>
  <c r="C16" i="36"/>
  <c r="B16" i="36"/>
  <c r="A16" i="36"/>
  <c r="F15" i="36"/>
  <c r="E15" i="36"/>
  <c r="D15" i="36"/>
  <c r="C15" i="36"/>
  <c r="B15" i="36"/>
  <c r="A15" i="36"/>
  <c r="F14" i="36"/>
  <c r="E14" i="36"/>
  <c r="D14" i="36"/>
  <c r="C14" i="36"/>
  <c r="B14" i="36"/>
  <c r="A14" i="36"/>
  <c r="F13" i="36"/>
  <c r="E13" i="36"/>
  <c r="D13" i="36"/>
  <c r="C13" i="36"/>
  <c r="B13" i="36"/>
  <c r="A13" i="36"/>
  <c r="F12" i="36"/>
  <c r="E12" i="36"/>
  <c r="D12" i="36"/>
  <c r="C12" i="36"/>
  <c r="B12" i="36"/>
  <c r="A12" i="36"/>
  <c r="F11" i="36"/>
  <c r="E11" i="36"/>
  <c r="D11" i="36"/>
  <c r="C11" i="36"/>
  <c r="B11" i="36"/>
  <c r="A11" i="36"/>
  <c r="F10" i="36"/>
  <c r="E10" i="36"/>
  <c r="D10" i="36"/>
  <c r="C10" i="36"/>
  <c r="B10" i="36"/>
  <c r="A10" i="36"/>
  <c r="F9" i="36"/>
  <c r="E9" i="36"/>
  <c r="D9" i="36"/>
  <c r="C9" i="36"/>
  <c r="B9" i="36"/>
  <c r="A9" i="36"/>
  <c r="F8" i="36"/>
  <c r="E8" i="36"/>
  <c r="D8" i="36"/>
  <c r="C8" i="36"/>
  <c r="B8" i="36"/>
  <c r="A8" i="36"/>
  <c r="F7" i="36"/>
  <c r="E7" i="36"/>
  <c r="D7" i="36"/>
  <c r="C7" i="36"/>
  <c r="B7" i="36"/>
  <c r="A7" i="36"/>
  <c r="F6" i="36"/>
  <c r="E6" i="36"/>
  <c r="D6" i="36"/>
  <c r="C6" i="36"/>
  <c r="B6" i="36"/>
  <c r="A6" i="36"/>
  <c r="F22" i="35"/>
  <c r="E22" i="35"/>
  <c r="D22" i="35"/>
  <c r="C22" i="35"/>
  <c r="B22" i="35"/>
  <c r="A22" i="35"/>
  <c r="F21" i="35"/>
  <c r="E21" i="35"/>
  <c r="D21" i="35"/>
  <c r="C21" i="35"/>
  <c r="B21" i="35"/>
  <c r="A21" i="35"/>
  <c r="F20" i="35"/>
  <c r="E20" i="35"/>
  <c r="D20" i="35"/>
  <c r="C20" i="35"/>
  <c r="B20" i="35"/>
  <c r="A20" i="35"/>
  <c r="F19" i="35"/>
  <c r="E19" i="35"/>
  <c r="D19" i="35"/>
  <c r="C19" i="35"/>
  <c r="B19" i="35"/>
  <c r="A19" i="35"/>
  <c r="F18" i="35"/>
  <c r="E18" i="35"/>
  <c r="D18" i="35"/>
  <c r="C18" i="35"/>
  <c r="B18" i="35"/>
  <c r="A18" i="35"/>
  <c r="F17" i="35"/>
  <c r="E17" i="35"/>
  <c r="D17" i="35"/>
  <c r="C17" i="35"/>
  <c r="B17" i="35"/>
  <c r="A17" i="35"/>
  <c r="F16" i="35"/>
  <c r="E16" i="35"/>
  <c r="D16" i="35"/>
  <c r="C16" i="35"/>
  <c r="B16" i="35"/>
  <c r="A16" i="35"/>
  <c r="F15" i="35"/>
  <c r="E15" i="35"/>
  <c r="D15" i="35"/>
  <c r="C15" i="35"/>
  <c r="B15" i="35"/>
  <c r="A15" i="35"/>
  <c r="F14" i="35"/>
  <c r="E14" i="35"/>
  <c r="D14" i="35"/>
  <c r="C14" i="35"/>
  <c r="B14" i="35"/>
  <c r="A14" i="35"/>
  <c r="F13" i="35"/>
  <c r="E13" i="35"/>
  <c r="D13" i="35"/>
  <c r="C13" i="35"/>
  <c r="B13" i="35"/>
  <c r="A13" i="35"/>
  <c r="F12" i="35"/>
  <c r="E12" i="35"/>
  <c r="D12" i="35"/>
  <c r="C12" i="35"/>
  <c r="B12" i="35"/>
  <c r="A12" i="35"/>
  <c r="F11" i="35"/>
  <c r="E11" i="35"/>
  <c r="D11" i="35"/>
  <c r="C11" i="35"/>
  <c r="B11" i="35"/>
  <c r="A11" i="35"/>
  <c r="F10" i="35"/>
  <c r="E10" i="35"/>
  <c r="D10" i="35"/>
  <c r="C10" i="35"/>
  <c r="B10" i="35"/>
  <c r="A10" i="35"/>
  <c r="F9" i="35"/>
  <c r="E9" i="35"/>
  <c r="D9" i="35"/>
  <c r="C9" i="35"/>
  <c r="B9" i="35"/>
  <c r="A9" i="35"/>
  <c r="F8" i="35"/>
  <c r="E8" i="35"/>
  <c r="D8" i="35"/>
  <c r="C8" i="35"/>
  <c r="B8" i="35"/>
  <c r="A8" i="35"/>
  <c r="F7" i="35"/>
  <c r="E7" i="35"/>
  <c r="D7" i="35"/>
  <c r="C7" i="35"/>
  <c r="B7" i="35"/>
  <c r="A7" i="35"/>
  <c r="F6" i="35"/>
  <c r="E6" i="35"/>
  <c r="D6" i="35"/>
  <c r="C6" i="35"/>
  <c r="B6" i="35"/>
  <c r="A6" i="35"/>
  <c r="F22" i="34"/>
  <c r="E22" i="34"/>
  <c r="D22" i="34"/>
  <c r="C22" i="34"/>
  <c r="B22" i="34"/>
  <c r="A22" i="34"/>
  <c r="F21" i="34"/>
  <c r="E21" i="34"/>
  <c r="D21" i="34"/>
  <c r="C21" i="34"/>
  <c r="B21" i="34"/>
  <c r="A21" i="34"/>
  <c r="F20" i="34"/>
  <c r="E20" i="34"/>
  <c r="D20" i="34"/>
  <c r="C20" i="34"/>
  <c r="B20" i="34"/>
  <c r="A20" i="34"/>
  <c r="F19" i="34"/>
  <c r="E19" i="34"/>
  <c r="D19" i="34"/>
  <c r="C19" i="34"/>
  <c r="B19" i="34"/>
  <c r="A19" i="34"/>
  <c r="F18" i="34"/>
  <c r="E18" i="34"/>
  <c r="D18" i="34"/>
  <c r="C18" i="34"/>
  <c r="B18" i="34"/>
  <c r="A18" i="34"/>
  <c r="F17" i="34"/>
  <c r="E17" i="34"/>
  <c r="D17" i="34"/>
  <c r="C17" i="34"/>
  <c r="B17" i="34"/>
  <c r="A17" i="34"/>
  <c r="F16" i="34"/>
  <c r="E16" i="34"/>
  <c r="D16" i="34"/>
  <c r="C16" i="34"/>
  <c r="B16" i="34"/>
  <c r="A16" i="34"/>
  <c r="F15" i="34"/>
  <c r="E15" i="34"/>
  <c r="D15" i="34"/>
  <c r="C15" i="34"/>
  <c r="B15" i="34"/>
  <c r="A15" i="34"/>
  <c r="F14" i="34"/>
  <c r="E14" i="34"/>
  <c r="D14" i="34"/>
  <c r="C14" i="34"/>
  <c r="B14" i="34"/>
  <c r="A14" i="34"/>
  <c r="F13" i="34"/>
  <c r="E13" i="34"/>
  <c r="D13" i="34"/>
  <c r="C13" i="34"/>
  <c r="B13" i="34"/>
  <c r="A13" i="34"/>
  <c r="F12" i="34"/>
  <c r="E12" i="34"/>
  <c r="D12" i="34"/>
  <c r="C12" i="34"/>
  <c r="B12" i="34"/>
  <c r="A12" i="34"/>
  <c r="F11" i="34"/>
  <c r="E11" i="34"/>
  <c r="D11" i="34"/>
  <c r="C11" i="34"/>
  <c r="B11" i="34"/>
  <c r="A11" i="34"/>
  <c r="F10" i="34"/>
  <c r="E10" i="34"/>
  <c r="D10" i="34"/>
  <c r="C10" i="34"/>
  <c r="B10" i="34"/>
  <c r="A10" i="34"/>
  <c r="F9" i="34"/>
  <c r="E9" i="34"/>
  <c r="D9" i="34"/>
  <c r="C9" i="34"/>
  <c r="B9" i="34"/>
  <c r="A9" i="34"/>
  <c r="F8" i="34"/>
  <c r="E8" i="34"/>
  <c r="D8" i="34"/>
  <c r="C8" i="34"/>
  <c r="B8" i="34"/>
  <c r="A8" i="34"/>
  <c r="F7" i="34"/>
  <c r="E7" i="34"/>
  <c r="D7" i="34"/>
  <c r="C7" i="34"/>
  <c r="B7" i="34"/>
  <c r="A7" i="34"/>
  <c r="F6" i="34"/>
  <c r="E6" i="34"/>
  <c r="D6" i="34"/>
  <c r="C6" i="34"/>
  <c r="B6" i="34"/>
  <c r="A6" i="34"/>
  <c r="F22" i="33"/>
  <c r="E22" i="33"/>
  <c r="D22" i="33"/>
  <c r="C22" i="33"/>
  <c r="B22" i="33"/>
  <c r="A22" i="33"/>
  <c r="F21" i="33"/>
  <c r="E21" i="33"/>
  <c r="D21" i="33"/>
  <c r="C21" i="33"/>
  <c r="B21" i="33"/>
  <c r="A21" i="33"/>
  <c r="F20" i="33"/>
  <c r="E20" i="33"/>
  <c r="D20" i="33"/>
  <c r="C20" i="33"/>
  <c r="B20" i="33"/>
  <c r="A20" i="33"/>
  <c r="F19" i="33"/>
  <c r="E19" i="33"/>
  <c r="D19" i="33"/>
  <c r="C19" i="33"/>
  <c r="B19" i="33"/>
  <c r="A19" i="33"/>
  <c r="F18" i="33"/>
  <c r="E18" i="33"/>
  <c r="D18" i="33"/>
  <c r="C18" i="33"/>
  <c r="B18" i="33"/>
  <c r="A18" i="33"/>
  <c r="F17" i="33"/>
  <c r="E17" i="33"/>
  <c r="D17" i="33"/>
  <c r="C17" i="33"/>
  <c r="B17" i="33"/>
  <c r="A17" i="33"/>
  <c r="F16" i="33"/>
  <c r="E16" i="33"/>
  <c r="D16" i="33"/>
  <c r="C16" i="33"/>
  <c r="B16" i="33"/>
  <c r="A16" i="33"/>
  <c r="F15" i="33"/>
  <c r="E15" i="33"/>
  <c r="D15" i="33"/>
  <c r="C15" i="33"/>
  <c r="B15" i="33"/>
  <c r="A15" i="33"/>
  <c r="F14" i="33"/>
  <c r="E14" i="33"/>
  <c r="D14" i="33"/>
  <c r="C14" i="33"/>
  <c r="B14" i="33"/>
  <c r="A14" i="33"/>
  <c r="F13" i="33"/>
  <c r="E13" i="33"/>
  <c r="D13" i="33"/>
  <c r="C13" i="33"/>
  <c r="B13" i="33"/>
  <c r="A13" i="33"/>
  <c r="F12" i="33"/>
  <c r="E12" i="33"/>
  <c r="D12" i="33"/>
  <c r="C12" i="33"/>
  <c r="B12" i="33"/>
  <c r="A12" i="33"/>
  <c r="F11" i="33"/>
  <c r="E11" i="33"/>
  <c r="D11" i="33"/>
  <c r="C11" i="33"/>
  <c r="B11" i="33"/>
  <c r="A11" i="33"/>
  <c r="F10" i="33"/>
  <c r="E10" i="33"/>
  <c r="D10" i="33"/>
  <c r="C10" i="33"/>
  <c r="B10" i="33"/>
  <c r="A10" i="33"/>
  <c r="F9" i="33"/>
  <c r="E9" i="33"/>
  <c r="D9" i="33"/>
  <c r="C9" i="33"/>
  <c r="B9" i="33"/>
  <c r="A9" i="33"/>
  <c r="F8" i="33"/>
  <c r="E8" i="33"/>
  <c r="D8" i="33"/>
  <c r="C8" i="33"/>
  <c r="B8" i="33"/>
  <c r="A8" i="33"/>
  <c r="F7" i="33"/>
  <c r="E7" i="33"/>
  <c r="D7" i="33"/>
  <c r="C7" i="33"/>
  <c r="B7" i="33"/>
  <c r="A7" i="33"/>
  <c r="F6" i="33"/>
  <c r="E6" i="33"/>
  <c r="D6" i="33"/>
  <c r="C6" i="33"/>
  <c r="B6" i="33"/>
  <c r="A6" i="33"/>
  <c r="F22" i="32"/>
  <c r="E22" i="32"/>
  <c r="D22" i="32"/>
  <c r="C22" i="32"/>
  <c r="B22" i="32"/>
  <c r="A22" i="32"/>
  <c r="F21" i="32"/>
  <c r="E21" i="32"/>
  <c r="D21" i="32"/>
  <c r="C21" i="32"/>
  <c r="B21" i="32"/>
  <c r="A21" i="32"/>
  <c r="F20" i="32"/>
  <c r="E20" i="32"/>
  <c r="D20" i="32"/>
  <c r="C20" i="32"/>
  <c r="B20" i="32"/>
  <c r="A20" i="32"/>
  <c r="F19" i="32"/>
  <c r="E19" i="32"/>
  <c r="D19" i="32"/>
  <c r="C19" i="32"/>
  <c r="B19" i="32"/>
  <c r="A19" i="32"/>
  <c r="F18" i="32"/>
  <c r="E18" i="32"/>
  <c r="D18" i="32"/>
  <c r="C18" i="32"/>
  <c r="B18" i="32"/>
  <c r="A18" i="32"/>
  <c r="F17" i="32"/>
  <c r="E17" i="32"/>
  <c r="D17" i="32"/>
  <c r="C17" i="32"/>
  <c r="B17" i="32"/>
  <c r="A17" i="32"/>
  <c r="F16" i="32"/>
  <c r="E16" i="32"/>
  <c r="D16" i="32"/>
  <c r="C16" i="32"/>
  <c r="B16" i="32"/>
  <c r="A16" i="32"/>
  <c r="F15" i="32"/>
  <c r="E15" i="32"/>
  <c r="D15" i="32"/>
  <c r="C15" i="32"/>
  <c r="B15" i="32"/>
  <c r="A15" i="32"/>
  <c r="F14" i="32"/>
  <c r="E14" i="32"/>
  <c r="D14" i="32"/>
  <c r="C14" i="32"/>
  <c r="B14" i="32"/>
  <c r="A14" i="32"/>
  <c r="F13" i="32"/>
  <c r="E13" i="32"/>
  <c r="D13" i="32"/>
  <c r="C13" i="32"/>
  <c r="B13" i="32"/>
  <c r="A13" i="32"/>
  <c r="F12" i="32"/>
  <c r="E12" i="32"/>
  <c r="D12" i="32"/>
  <c r="C12" i="32"/>
  <c r="B12" i="32"/>
  <c r="A12" i="32"/>
  <c r="F11" i="32"/>
  <c r="E11" i="32"/>
  <c r="D11" i="32"/>
  <c r="C11" i="32"/>
  <c r="B11" i="32"/>
  <c r="A11" i="32"/>
  <c r="F10" i="32"/>
  <c r="E10" i="32"/>
  <c r="D10" i="32"/>
  <c r="C10" i="32"/>
  <c r="B10" i="32"/>
  <c r="A10" i="32"/>
  <c r="F9" i="32"/>
  <c r="E9" i="32"/>
  <c r="D9" i="32"/>
  <c r="C9" i="32"/>
  <c r="B9" i="32"/>
  <c r="A9" i="32"/>
  <c r="F8" i="32"/>
  <c r="E8" i="32"/>
  <c r="D8" i="32"/>
  <c r="C8" i="32"/>
  <c r="B8" i="32"/>
  <c r="A8" i="32"/>
  <c r="F7" i="32"/>
  <c r="E7" i="32"/>
  <c r="D7" i="32"/>
  <c r="C7" i="32"/>
  <c r="B7" i="32"/>
  <c r="A7" i="32"/>
  <c r="F6" i="32"/>
  <c r="E6" i="32"/>
  <c r="D6" i="32"/>
  <c r="C6" i="32"/>
  <c r="B6" i="32"/>
  <c r="A6" i="32"/>
  <c r="F22" i="31"/>
  <c r="E22" i="31"/>
  <c r="D22" i="31"/>
  <c r="C22" i="31"/>
  <c r="B22" i="31"/>
  <c r="A22" i="31"/>
  <c r="F21" i="31"/>
  <c r="E21" i="31"/>
  <c r="D21" i="31"/>
  <c r="C21" i="31"/>
  <c r="B21" i="31"/>
  <c r="A21" i="31"/>
  <c r="F20" i="31"/>
  <c r="E20" i="31"/>
  <c r="D20" i="31"/>
  <c r="C20" i="31"/>
  <c r="B20" i="31"/>
  <c r="A20" i="31"/>
  <c r="F19" i="31"/>
  <c r="E19" i="31"/>
  <c r="D19" i="31"/>
  <c r="C19" i="31"/>
  <c r="B19" i="31"/>
  <c r="A19" i="31"/>
  <c r="F18" i="31"/>
  <c r="E18" i="31"/>
  <c r="D18" i="31"/>
  <c r="C18" i="31"/>
  <c r="B18" i="31"/>
  <c r="A18" i="31"/>
  <c r="F17" i="31"/>
  <c r="E17" i="31"/>
  <c r="D17" i="31"/>
  <c r="C17" i="31"/>
  <c r="B17" i="31"/>
  <c r="A17" i="31"/>
  <c r="F16" i="31"/>
  <c r="E16" i="31"/>
  <c r="D16" i="31"/>
  <c r="C16" i="31"/>
  <c r="B16" i="31"/>
  <c r="A16" i="31"/>
  <c r="F15" i="31"/>
  <c r="E15" i="31"/>
  <c r="D15" i="31"/>
  <c r="C15" i="31"/>
  <c r="B15" i="31"/>
  <c r="A15" i="31"/>
  <c r="F14" i="31"/>
  <c r="E14" i="31"/>
  <c r="D14" i="31"/>
  <c r="C14" i="31"/>
  <c r="B14" i="31"/>
  <c r="A14" i="31"/>
  <c r="F13" i="31"/>
  <c r="E13" i="31"/>
  <c r="D13" i="31"/>
  <c r="C13" i="31"/>
  <c r="B13" i="31"/>
  <c r="A13" i="31"/>
  <c r="F12" i="31"/>
  <c r="E12" i="31"/>
  <c r="D12" i="31"/>
  <c r="C12" i="31"/>
  <c r="B12" i="31"/>
  <c r="A12" i="31"/>
  <c r="F11" i="31"/>
  <c r="E11" i="31"/>
  <c r="D11" i="31"/>
  <c r="C11" i="31"/>
  <c r="B11" i="31"/>
  <c r="A11" i="31"/>
  <c r="F10" i="31"/>
  <c r="E10" i="31"/>
  <c r="D10" i="31"/>
  <c r="C10" i="31"/>
  <c r="B10" i="31"/>
  <c r="A10" i="31"/>
  <c r="F9" i="31"/>
  <c r="E9" i="31"/>
  <c r="D9" i="31"/>
  <c r="C9" i="31"/>
  <c r="B9" i="31"/>
  <c r="A9" i="31"/>
  <c r="F8" i="31"/>
  <c r="E8" i="31"/>
  <c r="D8" i="31"/>
  <c r="C8" i="31"/>
  <c r="B8" i="31"/>
  <c r="A8" i="31"/>
  <c r="F7" i="31"/>
  <c r="E7" i="31"/>
  <c r="D7" i="31"/>
  <c r="C7" i="31"/>
  <c r="B7" i="31"/>
  <c r="A7" i="31"/>
  <c r="F6" i="31"/>
  <c r="E6" i="31"/>
  <c r="D6" i="31"/>
  <c r="C6" i="31"/>
  <c r="B6" i="31"/>
  <c r="A6" i="31"/>
  <c r="N22" i="30"/>
  <c r="M22" i="30"/>
  <c r="L22" i="30"/>
  <c r="K22" i="30"/>
  <c r="J22" i="30"/>
  <c r="I22" i="30"/>
  <c r="N21" i="30"/>
  <c r="M21" i="30"/>
  <c r="L21" i="30"/>
  <c r="K21" i="30"/>
  <c r="J21" i="30"/>
  <c r="I21" i="30"/>
  <c r="N20" i="30"/>
  <c r="M20" i="30"/>
  <c r="L20" i="30"/>
  <c r="K20" i="30"/>
  <c r="J20" i="30"/>
  <c r="I20" i="30"/>
  <c r="N19" i="30"/>
  <c r="M19" i="30"/>
  <c r="L19" i="30"/>
  <c r="K19" i="30"/>
  <c r="J19" i="30"/>
  <c r="I19" i="30"/>
  <c r="N18" i="30"/>
  <c r="M18" i="30"/>
  <c r="L18" i="30"/>
  <c r="K18" i="30"/>
  <c r="J18" i="30"/>
  <c r="I18" i="30"/>
  <c r="N17" i="30"/>
  <c r="M17" i="30"/>
  <c r="L17" i="30"/>
  <c r="K17" i="30"/>
  <c r="J17" i="30"/>
  <c r="I17" i="30"/>
  <c r="N16" i="30"/>
  <c r="M16" i="30"/>
  <c r="L16" i="30"/>
  <c r="K16" i="30"/>
  <c r="J16" i="30"/>
  <c r="I16" i="30"/>
  <c r="N15" i="30"/>
  <c r="M15" i="30"/>
  <c r="L15" i="30"/>
  <c r="K15" i="30"/>
  <c r="J15" i="30"/>
  <c r="I15" i="30"/>
  <c r="N14" i="30"/>
  <c r="M14" i="30"/>
  <c r="L14" i="30"/>
  <c r="K14" i="30"/>
  <c r="J14" i="30"/>
  <c r="I14" i="30"/>
  <c r="N13" i="30"/>
  <c r="M13" i="30"/>
  <c r="L13" i="30"/>
  <c r="K13" i="30"/>
  <c r="J13" i="30"/>
  <c r="I13" i="30"/>
  <c r="N12" i="30"/>
  <c r="M12" i="30"/>
  <c r="L12" i="30"/>
  <c r="K12" i="30"/>
  <c r="J12" i="30"/>
  <c r="I12" i="30"/>
  <c r="N11" i="30"/>
  <c r="M11" i="30"/>
  <c r="L11" i="30"/>
  <c r="K11" i="30"/>
  <c r="J11" i="30"/>
  <c r="I11" i="30"/>
  <c r="N10" i="30"/>
  <c r="M10" i="30"/>
  <c r="L10" i="30"/>
  <c r="K10" i="30"/>
  <c r="J10" i="30"/>
  <c r="I10" i="30"/>
  <c r="N9" i="30"/>
  <c r="M9" i="30"/>
  <c r="L9" i="30"/>
  <c r="K9" i="30"/>
  <c r="J9" i="30"/>
  <c r="I9" i="30"/>
  <c r="N8" i="30"/>
  <c r="M8" i="30"/>
  <c r="L8" i="30"/>
  <c r="K8" i="30"/>
  <c r="J8" i="30"/>
  <c r="I8" i="30"/>
  <c r="N7" i="30"/>
  <c r="M7" i="30"/>
  <c r="L7" i="30"/>
  <c r="K7" i="30"/>
  <c r="J7" i="30"/>
  <c r="I7" i="30"/>
  <c r="N6" i="30"/>
  <c r="M6" i="30"/>
  <c r="L6" i="30"/>
  <c r="K6" i="30"/>
  <c r="J6" i="30"/>
  <c r="I6" i="30"/>
  <c r="F22" i="30"/>
  <c r="E22" i="30"/>
  <c r="D22" i="30"/>
  <c r="C22" i="30"/>
  <c r="B22" i="30"/>
  <c r="A22" i="30"/>
  <c r="F21" i="30"/>
  <c r="E21" i="30"/>
  <c r="D21" i="30"/>
  <c r="C21" i="30"/>
  <c r="B21" i="30"/>
  <c r="A21" i="30"/>
  <c r="F20" i="30"/>
  <c r="E20" i="30"/>
  <c r="D20" i="30"/>
  <c r="C20" i="30"/>
  <c r="B20" i="30"/>
  <c r="A20" i="30"/>
  <c r="F19" i="30"/>
  <c r="E19" i="30"/>
  <c r="D19" i="30"/>
  <c r="C19" i="30"/>
  <c r="B19" i="30"/>
  <c r="A19" i="30"/>
  <c r="F18" i="30"/>
  <c r="E18" i="30"/>
  <c r="D18" i="30"/>
  <c r="C18" i="30"/>
  <c r="B18" i="30"/>
  <c r="A18" i="30"/>
  <c r="F17" i="30"/>
  <c r="E17" i="30"/>
  <c r="D17" i="30"/>
  <c r="C17" i="30"/>
  <c r="B17" i="30"/>
  <c r="A17" i="30"/>
  <c r="F16" i="30"/>
  <c r="E16" i="30"/>
  <c r="D16" i="30"/>
  <c r="C16" i="30"/>
  <c r="B16" i="30"/>
  <c r="A16" i="30"/>
  <c r="F15" i="30"/>
  <c r="E15" i="30"/>
  <c r="D15" i="30"/>
  <c r="C15" i="30"/>
  <c r="B15" i="30"/>
  <c r="A15" i="30"/>
  <c r="F14" i="30"/>
  <c r="E14" i="30"/>
  <c r="D14" i="30"/>
  <c r="C14" i="30"/>
  <c r="B14" i="30"/>
  <c r="A14" i="30"/>
  <c r="F13" i="30"/>
  <c r="E13" i="30"/>
  <c r="D13" i="30"/>
  <c r="C13" i="30"/>
  <c r="B13" i="30"/>
  <c r="A13" i="30"/>
  <c r="F12" i="30"/>
  <c r="E12" i="30"/>
  <c r="D12" i="30"/>
  <c r="C12" i="30"/>
  <c r="B12" i="30"/>
  <c r="A12" i="30"/>
  <c r="F11" i="30"/>
  <c r="E11" i="30"/>
  <c r="D11" i="30"/>
  <c r="C11" i="30"/>
  <c r="B11" i="30"/>
  <c r="A11" i="30"/>
  <c r="F10" i="30"/>
  <c r="E10" i="30"/>
  <c r="D10" i="30"/>
  <c r="C10" i="30"/>
  <c r="B10" i="30"/>
  <c r="A10" i="30"/>
  <c r="F9" i="30"/>
  <c r="E9" i="30"/>
  <c r="D9" i="30"/>
  <c r="C9" i="30"/>
  <c r="B9" i="30"/>
  <c r="A9" i="30"/>
  <c r="F8" i="30"/>
  <c r="E8" i="30"/>
  <c r="D8" i="30"/>
  <c r="C8" i="30"/>
  <c r="B8" i="30"/>
  <c r="A8" i="30"/>
  <c r="F7" i="30"/>
  <c r="E7" i="30"/>
  <c r="D7" i="30"/>
  <c r="C7" i="30"/>
  <c r="B7" i="30"/>
  <c r="A7" i="30"/>
  <c r="F6" i="30"/>
  <c r="E6" i="30"/>
  <c r="D6" i="30"/>
  <c r="C6" i="30"/>
  <c r="B6" i="30"/>
  <c r="A6" i="30"/>
  <c r="N22" i="29"/>
  <c r="M22" i="29"/>
  <c r="L22" i="29"/>
  <c r="K22" i="29"/>
  <c r="J22" i="29"/>
  <c r="I22" i="29"/>
  <c r="N21" i="29"/>
  <c r="M21" i="29"/>
  <c r="L21" i="29"/>
  <c r="K21" i="29"/>
  <c r="J21" i="29"/>
  <c r="I21" i="29"/>
  <c r="N20" i="29"/>
  <c r="M20" i="29"/>
  <c r="L20" i="29"/>
  <c r="K20" i="29"/>
  <c r="J20" i="29"/>
  <c r="I20" i="29"/>
  <c r="N19" i="29"/>
  <c r="M19" i="29"/>
  <c r="L19" i="29"/>
  <c r="K19" i="29"/>
  <c r="J19" i="29"/>
  <c r="I19" i="29"/>
  <c r="N18" i="29"/>
  <c r="M18" i="29"/>
  <c r="L18" i="29"/>
  <c r="K18" i="29"/>
  <c r="J18" i="29"/>
  <c r="I18" i="29"/>
  <c r="N17" i="29"/>
  <c r="M17" i="29"/>
  <c r="L17" i="29"/>
  <c r="K17" i="29"/>
  <c r="J17" i="29"/>
  <c r="I17" i="29"/>
  <c r="N16" i="29"/>
  <c r="M16" i="29"/>
  <c r="L16" i="29"/>
  <c r="K16" i="29"/>
  <c r="J16" i="29"/>
  <c r="I16" i="29"/>
  <c r="N15" i="29"/>
  <c r="M15" i="29"/>
  <c r="L15" i="29"/>
  <c r="K15" i="29"/>
  <c r="J15" i="29"/>
  <c r="I15" i="29"/>
  <c r="N14" i="29"/>
  <c r="M14" i="29"/>
  <c r="L14" i="29"/>
  <c r="K14" i="29"/>
  <c r="J14" i="29"/>
  <c r="I14" i="29"/>
  <c r="N13" i="29"/>
  <c r="M13" i="29"/>
  <c r="L13" i="29"/>
  <c r="K13" i="29"/>
  <c r="J13" i="29"/>
  <c r="I13" i="29"/>
  <c r="N12" i="29"/>
  <c r="M12" i="29"/>
  <c r="L12" i="29"/>
  <c r="K12" i="29"/>
  <c r="J12" i="29"/>
  <c r="I12" i="29"/>
  <c r="N11" i="29"/>
  <c r="M11" i="29"/>
  <c r="L11" i="29"/>
  <c r="K11" i="29"/>
  <c r="J11" i="29"/>
  <c r="I11" i="29"/>
  <c r="N10" i="29"/>
  <c r="M10" i="29"/>
  <c r="L10" i="29"/>
  <c r="K10" i="29"/>
  <c r="J10" i="29"/>
  <c r="I10" i="29"/>
  <c r="N9" i="29"/>
  <c r="M9" i="29"/>
  <c r="L9" i="29"/>
  <c r="K9" i="29"/>
  <c r="J9" i="29"/>
  <c r="I9" i="29"/>
  <c r="N8" i="29"/>
  <c r="M8" i="29"/>
  <c r="L8" i="29"/>
  <c r="K8" i="29"/>
  <c r="J8" i="29"/>
  <c r="I8" i="29"/>
  <c r="N7" i="29"/>
  <c r="M7" i="29"/>
  <c r="L7" i="29"/>
  <c r="K7" i="29"/>
  <c r="J7" i="29"/>
  <c r="I7" i="29"/>
  <c r="N6" i="29"/>
  <c r="M6" i="29"/>
  <c r="L6" i="29"/>
  <c r="K6" i="29"/>
  <c r="J6" i="29"/>
  <c r="I6" i="29"/>
  <c r="F22" i="29"/>
  <c r="E22" i="29"/>
  <c r="D22" i="29"/>
  <c r="C22" i="29"/>
  <c r="B22" i="29"/>
  <c r="A22" i="29"/>
  <c r="F21" i="29"/>
  <c r="E21" i="29"/>
  <c r="D21" i="29"/>
  <c r="C21" i="29"/>
  <c r="B21" i="29"/>
  <c r="A21" i="29"/>
  <c r="F20" i="29"/>
  <c r="E20" i="29"/>
  <c r="D20" i="29"/>
  <c r="C20" i="29"/>
  <c r="B20" i="29"/>
  <c r="A20" i="29"/>
  <c r="F19" i="29"/>
  <c r="E19" i="29"/>
  <c r="D19" i="29"/>
  <c r="C19" i="29"/>
  <c r="B19" i="29"/>
  <c r="A19" i="29"/>
  <c r="F18" i="29"/>
  <c r="E18" i="29"/>
  <c r="D18" i="29"/>
  <c r="C18" i="29"/>
  <c r="B18" i="29"/>
  <c r="A18" i="29"/>
  <c r="F17" i="29"/>
  <c r="E17" i="29"/>
  <c r="D17" i="29"/>
  <c r="C17" i="29"/>
  <c r="B17" i="29"/>
  <c r="A17" i="29"/>
  <c r="F16" i="29"/>
  <c r="E16" i="29"/>
  <c r="D16" i="29"/>
  <c r="C16" i="29"/>
  <c r="B16" i="29"/>
  <c r="A16" i="29"/>
  <c r="F15" i="29"/>
  <c r="E15" i="29"/>
  <c r="D15" i="29"/>
  <c r="C15" i="29"/>
  <c r="B15" i="29"/>
  <c r="A15" i="29"/>
  <c r="F14" i="29"/>
  <c r="E14" i="29"/>
  <c r="D14" i="29"/>
  <c r="C14" i="29"/>
  <c r="B14" i="29"/>
  <c r="A14" i="29"/>
  <c r="F13" i="29"/>
  <c r="E13" i="29"/>
  <c r="D13" i="29"/>
  <c r="C13" i="29"/>
  <c r="B13" i="29"/>
  <c r="A13" i="29"/>
  <c r="F12" i="29"/>
  <c r="E12" i="29"/>
  <c r="D12" i="29"/>
  <c r="C12" i="29"/>
  <c r="B12" i="29"/>
  <c r="A12" i="29"/>
  <c r="F11" i="29"/>
  <c r="E11" i="29"/>
  <c r="D11" i="29"/>
  <c r="C11" i="29"/>
  <c r="B11" i="29"/>
  <c r="A11" i="29"/>
  <c r="F10" i="29"/>
  <c r="E10" i="29"/>
  <c r="D10" i="29"/>
  <c r="C10" i="29"/>
  <c r="B10" i="29"/>
  <c r="A10" i="29"/>
  <c r="F9" i="29"/>
  <c r="E9" i="29"/>
  <c r="D9" i="29"/>
  <c r="C9" i="29"/>
  <c r="B9" i="29"/>
  <c r="A9" i="29"/>
  <c r="F8" i="29"/>
  <c r="E8" i="29"/>
  <c r="D8" i="29"/>
  <c r="C8" i="29"/>
  <c r="B8" i="29"/>
  <c r="A8" i="29"/>
  <c r="F7" i="29"/>
  <c r="E7" i="29"/>
  <c r="D7" i="29"/>
  <c r="C7" i="29"/>
  <c r="B7" i="29"/>
  <c r="A7" i="29"/>
  <c r="F6" i="29"/>
  <c r="E6" i="29"/>
  <c r="D6" i="29"/>
  <c r="C6" i="29"/>
  <c r="B6" i="29"/>
  <c r="A6" i="29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6" i="28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6" i="27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6" i="26"/>
  <c r="AD7" i="25"/>
  <c r="AD8" i="25"/>
  <c r="AD9" i="25"/>
  <c r="AD10" i="25"/>
  <c r="AD11" i="25"/>
  <c r="AD12" i="25"/>
  <c r="AD13" i="25"/>
  <c r="AD14" i="25"/>
  <c r="AD15" i="25"/>
  <c r="AD16" i="25"/>
  <c r="AD17" i="25"/>
  <c r="AD18" i="25"/>
  <c r="AD19" i="25"/>
  <c r="AD20" i="25"/>
  <c r="AD21" i="25"/>
  <c r="AD22" i="25"/>
  <c r="AD6" i="25"/>
  <c r="AC7" i="25"/>
  <c r="AC8" i="25"/>
  <c r="AC9" i="25"/>
  <c r="AC10" i="25"/>
  <c r="AC11" i="25"/>
  <c r="AC12" i="25"/>
  <c r="AC13" i="25"/>
  <c r="AC14" i="25"/>
  <c r="AC15" i="25"/>
  <c r="AC16" i="25"/>
  <c r="AC17" i="25"/>
  <c r="AC18" i="25"/>
  <c r="AC19" i="25"/>
  <c r="AC20" i="25"/>
  <c r="AC21" i="25"/>
  <c r="AC22" i="25"/>
  <c r="AC6" i="25"/>
  <c r="AB7" i="25"/>
  <c r="AB8" i="25"/>
  <c r="AB9" i="25"/>
  <c r="AB10" i="25"/>
  <c r="AB11" i="25"/>
  <c r="AB12" i="25"/>
  <c r="AB13" i="25"/>
  <c r="AB14" i="25"/>
  <c r="AB15" i="25"/>
  <c r="AB16" i="25"/>
  <c r="AB17" i="25"/>
  <c r="AB18" i="25"/>
  <c r="AB19" i="25"/>
  <c r="AB20" i="25"/>
  <c r="AB21" i="25"/>
  <c r="AB22" i="25"/>
  <c r="AB6" i="25"/>
  <c r="AA7" i="25"/>
  <c r="AA8" i="25"/>
  <c r="AA9" i="25"/>
  <c r="AA10" i="25"/>
  <c r="AA11" i="25"/>
  <c r="AA12" i="25"/>
  <c r="AA13" i="25"/>
  <c r="AA14" i="25"/>
  <c r="AA15" i="25"/>
  <c r="AA16" i="25"/>
  <c r="AA17" i="25"/>
  <c r="AA18" i="25"/>
  <c r="AA19" i="25"/>
  <c r="AA20" i="25"/>
  <c r="AA21" i="25"/>
  <c r="AA22" i="25"/>
  <c r="AA6" i="25"/>
  <c r="Z7" i="25"/>
  <c r="Z8" i="25"/>
  <c r="Z9" i="25"/>
  <c r="Z10" i="25"/>
  <c r="Z11" i="25"/>
  <c r="Z12" i="25"/>
  <c r="Z13" i="25"/>
  <c r="Z14" i="25"/>
  <c r="Z15" i="25"/>
  <c r="Z16" i="25"/>
  <c r="Z17" i="25"/>
  <c r="Z18" i="25"/>
  <c r="Z19" i="25"/>
  <c r="Z20" i="25"/>
  <c r="Z21" i="25"/>
  <c r="Z22" i="25"/>
  <c r="Z6" i="25"/>
  <c r="Y7" i="25"/>
  <c r="Y8" i="25"/>
  <c r="Y9" i="25"/>
  <c r="Y10" i="25"/>
  <c r="Y11" i="25"/>
  <c r="Y12" i="25"/>
  <c r="Y13" i="25"/>
  <c r="Y14" i="25"/>
  <c r="Y15" i="25"/>
  <c r="Y16" i="25"/>
  <c r="Y17" i="25"/>
  <c r="Y18" i="25"/>
  <c r="Y19" i="25"/>
  <c r="Y20" i="25"/>
  <c r="Y21" i="25"/>
  <c r="Y22" i="25"/>
  <c r="Y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6" i="25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6" i="24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6" i="23"/>
  <c r="M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6" i="23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6" i="22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6" i="16"/>
  <c r="BA3" i="9"/>
  <c r="BA4" i="9"/>
  <c r="BA5" i="9"/>
  <c r="BA6" i="9"/>
  <c r="BA7" i="9"/>
  <c r="BA8" i="9"/>
  <c r="BA9" i="9"/>
  <c r="BA10" i="9"/>
  <c r="BA11" i="9"/>
  <c r="BA12" i="9"/>
  <c r="BA13" i="9"/>
  <c r="BA14" i="9"/>
  <c r="BA15" i="9"/>
  <c r="BA16" i="9"/>
  <c r="BA17" i="9"/>
  <c r="BA18" i="9"/>
  <c r="BA2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1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870E9-A5E1-455F-8249-D05FF09C85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88D7660-D642-46A6-A845-DE5FC70A3BC6}" name="WorksheetConnection_Sheet1!$A:$B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B1"/>
        </x15:connection>
      </ext>
    </extLst>
  </connection>
  <connection id="3" xr16:uid="{EC54C0ED-0567-4D00-8169-27832FA53952}" name="WorksheetConnection_TAM-Knowledge Index.xlsx!EmployeeRatingsTable" type="102" refreshedVersion="8" minRefreshableVersion="5">
    <extLst>
      <ext xmlns:x15="http://schemas.microsoft.com/office/spreadsheetml/2010/11/main" uri="{DE250136-89BD-433C-8126-D09CA5730AF9}">
        <x15:connection id="EmployeeRatingsTable">
          <x15:rangePr sourceName="_xlcn.WorksheetConnection_TAMKnowledgeIndex.xlsxEmployeeRatingsTable1"/>
        </x15:connection>
      </ext>
    </extLst>
  </connection>
</connections>
</file>

<file path=xl/sharedStrings.xml><?xml version="1.0" encoding="utf-8"?>
<sst xmlns="http://schemas.openxmlformats.org/spreadsheetml/2006/main" count="825" uniqueCount="309">
  <si>
    <t>Name</t>
  </si>
  <si>
    <t>Score</t>
  </si>
  <si>
    <t>Product and deployment architecture</t>
  </si>
  <si>
    <t>Support Collaboration</t>
  </si>
  <si>
    <t>Robot/Assistant</t>
  </si>
  <si>
    <t>Studio Family</t>
  </si>
  <si>
    <t>Orchestrator</t>
  </si>
  <si>
    <t>HAA</t>
  </si>
  <si>
    <t>Action Center</t>
  </si>
  <si>
    <t>AI Center/ DU</t>
  </si>
  <si>
    <t>Test Suite</t>
  </si>
  <si>
    <t>Insights</t>
  </si>
  <si>
    <t>Task Mining</t>
  </si>
  <si>
    <t>Process Mining</t>
  </si>
  <si>
    <t>Communications Mining</t>
  </si>
  <si>
    <t>Automation Ops</t>
  </si>
  <si>
    <t>Integration Services</t>
  </si>
  <si>
    <t>Data Services</t>
  </si>
  <si>
    <t>Apps</t>
  </si>
  <si>
    <t>Automation Hub</t>
  </si>
  <si>
    <t>Computer Vision</t>
  </si>
  <si>
    <t>Clipboard AI</t>
  </si>
  <si>
    <t>Automation Suite</t>
  </si>
  <si>
    <t>License Management</t>
  </si>
  <si>
    <t>DevOps</t>
  </si>
  <si>
    <t>Linux</t>
  </si>
  <si>
    <t>Infra skills</t>
  </si>
  <si>
    <t>SQL Server</t>
  </si>
  <si>
    <t>Kubernetes</t>
  </si>
  <si>
    <t>AWS</t>
  </si>
  <si>
    <t>Azure</t>
  </si>
  <si>
    <t>GCP</t>
  </si>
  <si>
    <t>Saas Adoption</t>
  </si>
  <si>
    <t>GenAI Awareness</t>
  </si>
  <si>
    <t>Install/Upgrade/Config</t>
  </si>
  <si>
    <t>Feature/Delivery</t>
  </si>
  <si>
    <t>Integrations
(Cred Vault, AD)</t>
  </si>
  <si>
    <t>PaaS</t>
  </si>
  <si>
    <t>IaaS</t>
  </si>
  <si>
    <t>Migration Persuasion</t>
  </si>
  <si>
    <t>Security And Architecture</t>
  </si>
  <si>
    <t>Migration</t>
  </si>
  <si>
    <t>Functionality</t>
  </si>
  <si>
    <t>Team Average</t>
  </si>
  <si>
    <t>Windows(msi)</t>
  </si>
  <si>
    <t>Install</t>
  </si>
  <si>
    <t>Upgrade</t>
  </si>
  <si>
    <t>Configuration / Monitoring</t>
  </si>
  <si>
    <t>Ankit Rajput</t>
  </si>
  <si>
    <t>Anusha Gunda</t>
  </si>
  <si>
    <t>Arun Kumar</t>
  </si>
  <si>
    <t>Ashraya H D</t>
  </si>
  <si>
    <t>Jeet Doshi</t>
  </si>
  <si>
    <t>Mahesh Kumar</t>
  </si>
  <si>
    <t>Nilekha Repaka</t>
  </si>
  <si>
    <t>Pawan Rathore</t>
  </si>
  <si>
    <t>Priyesh Tiwari</t>
  </si>
  <si>
    <t>Rahul Kumar</t>
  </si>
  <si>
    <t>Ramkrishna Kadiya</t>
  </si>
  <si>
    <t>Revanth Anguluri</t>
  </si>
  <si>
    <t>Sagar Sable</t>
  </si>
  <si>
    <t>Shreya Ramprakash</t>
  </si>
  <si>
    <t>Shreyas Risodkar</t>
  </si>
  <si>
    <t>Srikirti Raj</t>
  </si>
  <si>
    <t>Swetha KJ</t>
  </si>
  <si>
    <t>Product</t>
  </si>
  <si>
    <t>Expectations</t>
  </si>
  <si>
    <t>Product architecture awareness</t>
  </si>
  <si>
    <t>Deployment options and capability to customize for customer environment/needs</t>
  </si>
  <si>
    <t>Product compatibility across versions/ products</t>
  </si>
  <si>
    <t>Support</t>
  </si>
  <si>
    <t>Basic troubleshooting activities</t>
  </si>
  <si>
    <t>Ticketing system</t>
  </si>
  <si>
    <t>Support scope (OEM / Partner)</t>
  </si>
  <si>
    <t>Customer support portal</t>
  </si>
  <si>
    <t>Escalation model</t>
  </si>
  <si>
    <t>Working with MCS and Infra teams</t>
  </si>
  <si>
    <t>Engaging product engineering team</t>
  </si>
  <si>
    <t>Robots / Assistant</t>
  </si>
  <si>
    <t>Robots</t>
  </si>
  <si>
    <t>Runtimes</t>
  </si>
  <si>
    <t>Cloud robots</t>
  </si>
  <si>
    <t>ERO</t>
  </si>
  <si>
    <t xml:space="preserve">license types and consumption </t>
  </si>
  <si>
    <t>Studio family</t>
  </si>
  <si>
    <t>Design and coding best practices</t>
  </si>
  <si>
    <t>Reusable components,</t>
  </si>
  <si>
    <t>REFramework</t>
  </si>
  <si>
    <t>Default Activities (System, UI, Mail)</t>
  </si>
  <si>
    <t>Debugging, Unit Testing</t>
  </si>
  <si>
    <t>Datatypes</t>
  </si>
  <si>
    <t>PIP</t>
  </si>
  <si>
    <t>Modern design</t>
  </si>
  <si>
    <t>Object repository</t>
  </si>
  <si>
    <t>Selectors</t>
  </si>
  <si>
    <t>Workflow analyzer</t>
  </si>
  <si>
    <t>Source control integration</t>
  </si>
  <si>
    <t>Assets, Triggers, Jobs, Queues</t>
  </si>
  <si>
    <t>License management</t>
  </si>
  <si>
    <t>Tenant and Folder management</t>
  </si>
  <si>
    <t>Classic to modern migration</t>
  </si>
  <si>
    <t>Machine management</t>
  </si>
  <si>
    <t>User management (SAML, Windows, Azure AD, roles, permissions, licenses)</t>
  </si>
  <si>
    <t>Alerts, monitoring</t>
  </si>
  <si>
    <t>Audit</t>
  </si>
  <si>
    <t>Credential vault</t>
  </si>
  <si>
    <t>Log management</t>
  </si>
  <si>
    <t>Webhooks</t>
  </si>
  <si>
    <t>Package management</t>
  </si>
  <si>
    <t>Auto upgrade</t>
  </si>
  <si>
    <t>Storage buckets</t>
  </si>
  <si>
    <t>Testing</t>
  </si>
  <si>
    <t>APIs</t>
  </si>
  <si>
    <t>Alerts</t>
  </si>
  <si>
    <t>License</t>
  </si>
  <si>
    <t>Certificates</t>
  </si>
  <si>
    <t>Architecture awareness (ports, dependencies, commands)</t>
  </si>
  <si>
    <t>Task management</t>
  </si>
  <si>
    <t>Form design</t>
  </si>
  <si>
    <t>AI Center &amp;  DU</t>
  </si>
  <si>
    <t>OCR integrations</t>
  </si>
  <si>
    <t>AI Units management</t>
  </si>
  <si>
    <t>OOTB models</t>
  </si>
  <si>
    <t>Model deployment</t>
  </si>
  <si>
    <t>Training, Labeling</t>
  </si>
  <si>
    <t>DU Framework</t>
  </si>
  <si>
    <t>Infra capacity assessment</t>
  </si>
  <si>
    <t>ALM integration</t>
  </si>
  <si>
    <t>Requirement management</t>
  </si>
  <si>
    <t>Test management (Test set, manual etc.)</t>
  </si>
  <si>
    <t>SAP integration</t>
  </si>
  <si>
    <t>OOTB dashboards</t>
  </si>
  <si>
    <t>Data model awareness,</t>
  </si>
  <si>
    <t>New dashboards, customizations</t>
  </si>
  <si>
    <t>Custom &amp; ROI variables,</t>
  </si>
  <si>
    <t>Access management</t>
  </si>
  <si>
    <t>Realtime data export</t>
  </si>
  <si>
    <t>Deployment options</t>
  </si>
  <si>
    <t>Recording</t>
  </si>
  <si>
    <t>Configuration</t>
  </si>
  <si>
    <t>Data masking (PII, GDPR),</t>
  </si>
  <si>
    <t>Discovery result optimization and analysis</t>
  </si>
  <si>
    <t>Connectors</t>
  </si>
  <si>
    <t>Integration (UiPath suite),</t>
  </si>
  <si>
    <t>Accelerators</t>
  </si>
  <si>
    <t>User management</t>
  </si>
  <si>
    <t>Dashboard</t>
  </si>
  <si>
    <t>Studio activities</t>
  </si>
  <si>
    <t>License utilization</t>
  </si>
  <si>
    <t>Data set, labeling, training</t>
  </si>
  <si>
    <t>Analytics</t>
  </si>
  <si>
    <t>APIs / Streams</t>
  </si>
  <si>
    <t>Policies &amp; deployment options</t>
  </si>
  <si>
    <t>Governance, feeds</t>
  </si>
  <si>
    <t>Connection management</t>
  </si>
  <si>
    <t>Event based triggers</t>
  </si>
  <si>
    <t>Connector builder, OOTB connectors</t>
  </si>
  <si>
    <t>Entity modeling</t>
  </si>
  <si>
    <t xml:space="preserve">Studio CRUD ops </t>
  </si>
  <si>
    <t>Designing</t>
  </si>
  <si>
    <t>Deployment</t>
  </si>
  <si>
    <t>Integration options</t>
  </si>
  <si>
    <t>Category</t>
  </si>
  <si>
    <t>Cost benefits</t>
  </si>
  <si>
    <t>Workflow customization</t>
  </si>
  <si>
    <t>RDP/Citrix env automation</t>
  </si>
  <si>
    <t>Best practices</t>
  </si>
  <si>
    <t>Product awareness</t>
  </si>
  <si>
    <t>Config files</t>
  </si>
  <si>
    <t>Capacity planning</t>
  </si>
  <si>
    <t>Hw/Sw requirements</t>
  </si>
  <si>
    <t>Troubleshooting, monitoring</t>
  </si>
  <si>
    <t>Different license packs</t>
  </si>
  <si>
    <t>Consumption</t>
  </si>
  <si>
    <t>Deal hub interaction</t>
  </si>
  <si>
    <t>Deployment options (Azure &amp; Jenkins)</t>
  </si>
  <si>
    <t>Version control system</t>
  </si>
  <si>
    <t>Test case integration</t>
  </si>
  <si>
    <t>Binary package repositories (ex: jFrog)</t>
  </si>
  <si>
    <t>Navigation</t>
  </si>
  <si>
    <t>File editing</t>
  </si>
  <si>
    <t>Basic commands</t>
  </si>
  <si>
    <t>Installation options (rpm, yum etc.)</t>
  </si>
  <si>
    <t>Putty, sftp, ssh, proxy,</t>
  </si>
  <si>
    <t>Common system files / folders</t>
  </si>
  <si>
    <t>Open ssl</t>
  </si>
  <si>
    <t>Load balancer</t>
  </si>
  <si>
    <t>IIS</t>
  </si>
  <si>
    <t>Firewall and networking concepts</t>
  </si>
  <si>
    <t>SSL concepts</t>
  </si>
  <si>
    <t>Fiddler, Wireshark</t>
  </si>
  <si>
    <t>Citrix Environment</t>
  </si>
  <si>
    <t>Storage concepts</t>
  </si>
  <si>
    <t>Basic sql commands/ queries</t>
  </si>
  <si>
    <t>Database maintenance scripts execution and modification</t>
  </si>
  <si>
    <t>SQL PaaS</t>
  </si>
  <si>
    <t>Roles and permissions (dbowner, dbreader etc.)</t>
  </si>
  <si>
    <t>Fundamentals</t>
  </si>
  <si>
    <t>Config maps</t>
  </si>
  <si>
    <t>Specialization Certification ( SA, Security, Infra etc.)</t>
  </si>
  <si>
    <t>SaaS platform Benefit Awareness</t>
  </si>
  <si>
    <t xml:space="preserve">Best practices around usage of SaaS functionality like multi-tenancy, folders, queues etc. </t>
  </si>
  <si>
    <t>Configurations and third party integrations</t>
  </si>
  <si>
    <t>License allocation and consumption</t>
  </si>
  <si>
    <t xml:space="preserve">Fundamentals </t>
  </si>
  <si>
    <t>UiPath products integrated with GenAI</t>
  </si>
  <si>
    <t>Current functionalities and product roadmap</t>
  </si>
  <si>
    <t xml:space="preserve">Scenarios where GenAI can be utilized </t>
  </si>
  <si>
    <t>Competency</t>
  </si>
  <si>
    <r>
      <t xml:space="preserve">Guidelines to rate yourself </t>
    </r>
    <r>
      <rPr>
        <b/>
        <sz val="11"/>
        <color theme="1"/>
        <rFont val="Calibri"/>
        <family val="2"/>
        <scheme val="minor"/>
      </rPr>
      <t>(Feature / Delivery)</t>
    </r>
  </si>
  <si>
    <t>Expert</t>
  </si>
  <si>
    <t>Activity</t>
  </si>
  <si>
    <t>Level</t>
  </si>
  <si>
    <t>Excellent</t>
  </si>
  <si>
    <t>Are you aware of the product features?</t>
  </si>
  <si>
    <t>Novice-Weak</t>
  </si>
  <si>
    <t>1-2</t>
  </si>
  <si>
    <t>Very good</t>
  </si>
  <si>
    <t>Have you completed the academy / enablement courses about the product features?</t>
  </si>
  <si>
    <t>Below Average - Average</t>
  </si>
  <si>
    <t>3-4</t>
  </si>
  <si>
    <t>Good</t>
  </si>
  <si>
    <t>Have you assisted customers in adopting the product features?</t>
  </si>
  <si>
    <t>Average - Good</t>
  </si>
  <si>
    <t>5-6</t>
  </si>
  <si>
    <t>Above Average</t>
  </si>
  <si>
    <t>Have you assisted customers / colleagues in troubleshooting issues related to those features?</t>
  </si>
  <si>
    <t>Good - Very Good</t>
  </si>
  <si>
    <t>7-8</t>
  </si>
  <si>
    <t>Average</t>
  </si>
  <si>
    <t>Have you taken knowledge sessions or written white papers about those features?</t>
  </si>
  <si>
    <t>Excellent - Expert</t>
  </si>
  <si>
    <t>9-10</t>
  </si>
  <si>
    <t>Below Average</t>
  </si>
  <si>
    <t>Weak</t>
  </si>
  <si>
    <t>Very Weak</t>
  </si>
  <si>
    <r>
      <t>Guidelines to rate yourself</t>
    </r>
    <r>
      <rPr>
        <b/>
        <sz val="11"/>
        <color theme="1"/>
        <rFont val="Calibri"/>
        <family val="2"/>
        <scheme val="minor"/>
      </rPr>
      <t xml:space="preserve"> (Install / Upgrade / Migrate / Config)</t>
    </r>
  </si>
  <si>
    <t>Novice</t>
  </si>
  <si>
    <t>Have you understood the pre-requisites and the dependencies before starting the install / upgrade activity?</t>
  </si>
  <si>
    <t>`</t>
  </si>
  <si>
    <t>Have you developed a project plan for install / upgrade / migration?</t>
  </si>
  <si>
    <t>Have you assisted customers in installation / upgrade / migration without seeking help?</t>
  </si>
  <si>
    <t>Have you assisted customers / colleagues in troubleshooting issues during the said activities?</t>
  </si>
  <si>
    <t>Have you taken knowledge sessions or written white papers about the said activity?</t>
  </si>
  <si>
    <t>Robot Assistant - Install/Upgrade/Config</t>
  </si>
  <si>
    <t>Robot Assistant - Feature/Delivery</t>
  </si>
  <si>
    <t>Studio Family - Install/Upgrade/Config</t>
  </si>
  <si>
    <t>Studio Family -Feature/Delivery</t>
  </si>
  <si>
    <t>HAA - Install/Upgrade/Config</t>
  </si>
  <si>
    <t>Action Center - Install/Upgrade/Config</t>
  </si>
  <si>
    <t>AI Center/ DU - Feature/Delivery</t>
  </si>
  <si>
    <t>Test Suite - Install/Upgrade/Config</t>
  </si>
  <si>
    <t>Insights - Install/Upgrade/Config</t>
  </si>
  <si>
    <t>Task Mining - Feature/Delivery</t>
  </si>
  <si>
    <t>Process Mining - Feature/Delivery</t>
  </si>
  <si>
    <t>Communications Mining - Feature/Delivery</t>
  </si>
  <si>
    <t>Automation Ops - Feature/Delivery</t>
  </si>
  <si>
    <t>Integration Services - Feature/Delivery</t>
  </si>
  <si>
    <t>Data Services - Feature/Delivery</t>
  </si>
  <si>
    <t>Apps - Feature/Delivery</t>
  </si>
  <si>
    <t>Automation Hub - Feature/Delivery</t>
  </si>
  <si>
    <t>Computer Vision - Install/Upgrade/Config</t>
  </si>
  <si>
    <t>Clipboard AI - Feature/Delivery</t>
  </si>
  <si>
    <t>Saas Adoption - Migration Persuasion</t>
  </si>
  <si>
    <t>GenAI Awareness - Security And Architecture</t>
  </si>
  <si>
    <t>Orchestrator - Install/Upgrade/Config - msi</t>
  </si>
  <si>
    <t>Orchestrator - Install/Upgrade/Config - PaaS</t>
  </si>
  <si>
    <t>Orchestrator - Integrations
(Cred Vault, AD)</t>
  </si>
  <si>
    <t xml:space="preserve"> Orchestrator - Feature/Delivery</t>
  </si>
  <si>
    <t>Action Center - Feature/Delivery</t>
  </si>
  <si>
    <t>Test Suite - Feature/Delivery</t>
  </si>
  <si>
    <t>Insights - Feature/Delivery</t>
  </si>
  <si>
    <t>Computer Vision - Feature/Delivery</t>
  </si>
  <si>
    <t>Automation Suite - PaaS -Install</t>
  </si>
  <si>
    <t>Automation Suite - PaaS -Upgrade</t>
  </si>
  <si>
    <t>Automation Suite - PaaS - Migration</t>
  </si>
  <si>
    <t>Automation Suite - PaaS - Configuration / Monitoring</t>
  </si>
  <si>
    <t>Automation Suite - IaaS - Install</t>
  </si>
  <si>
    <t>Automation Suite - IaaS - Upgrade</t>
  </si>
  <si>
    <t>Automation Suite - IaaS - Migration</t>
  </si>
  <si>
    <t>Automation Suite - IaaS - Configuration / Monitoring</t>
  </si>
  <si>
    <t>Saas Adoption - Security And Architecture</t>
  </si>
  <si>
    <t>Saas Adoption - Migration</t>
  </si>
  <si>
    <t>GenAI Awareness  - Functionality</t>
  </si>
  <si>
    <t>Avg Rating  per TAM</t>
  </si>
  <si>
    <t>Avg Per product</t>
  </si>
  <si>
    <t>Average and Below</t>
  </si>
  <si>
    <t>Robot/Assistant - Install/Upgrade/Config</t>
  </si>
  <si>
    <t>Robot/Assistant - Feature/Delivery</t>
  </si>
  <si>
    <t>Studio Family - Feature/Delivery</t>
  </si>
  <si>
    <t>Orchestrator - Feature/Delivery</t>
  </si>
  <si>
    <t>Orchestrator - Install/Upgrade/Config - Windows using MSI</t>
  </si>
  <si>
    <t>Orchestrator - Integrations (Cred Vault, AD)</t>
  </si>
  <si>
    <t>AI Center/ DU - Install/Upgrade/Config</t>
  </si>
  <si>
    <t>]</t>
  </si>
  <si>
    <t>Communication Mining - Feature/Delivery</t>
  </si>
  <si>
    <t>Install - PaaS</t>
  </si>
  <si>
    <t>Upgrade - PaaS</t>
  </si>
  <si>
    <t>Migration - PaaS</t>
  </si>
  <si>
    <t>Configuration / Monitoring - Paas</t>
  </si>
  <si>
    <t>Install - IaaS</t>
  </si>
  <si>
    <t>Upgrade - IaaS</t>
  </si>
  <si>
    <t>Migration - IaaS</t>
  </si>
  <si>
    <t>Configuration / Monitoring - IaaS</t>
  </si>
  <si>
    <t>Infra Skills</t>
  </si>
  <si>
    <t>SaaS Adoption - Migration Persuasion</t>
  </si>
  <si>
    <t>SaaS Adoption - Security And Architecture</t>
  </si>
  <si>
    <t>SaaS Adoption - Migration</t>
  </si>
  <si>
    <t>GenAI Awareness -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</si>
</sst>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0" borderId="0" xfId="0" quotePrefix="1"/>
    <xf numFmtId="0" fontId="2" fillId="3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" xfId="0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2" fontId="2" fillId="3" borderId="14" xfId="0" applyNumberFormat="1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2" fontId="2" fillId="5" borderId="14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2" fontId="2" fillId="4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0" fillId="0" borderId="14" xfId="0" applyNumberFormat="1" applyBorder="1"/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/>
    <xf numFmtId="0" fontId="2" fillId="5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9" xfId="0" applyBorder="1"/>
    <xf numFmtId="0" fontId="1" fillId="0" borderId="21" xfId="0" applyFont="1" applyBorder="1" applyAlignment="1">
      <alignment vertical="center"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7" borderId="14" xfId="0" applyFill="1" applyBorder="1"/>
    <xf numFmtId="0" fontId="0" fillId="7" borderId="16" xfId="0" applyFill="1" applyBorder="1"/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4" xfId="0" applyFill="1" applyBorder="1"/>
    <xf numFmtId="0" fontId="2" fillId="3" borderId="16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1" fontId="2" fillId="3" borderId="14" xfId="0" applyNumberFormat="1" applyFont="1" applyFill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1" fontId="0" fillId="8" borderId="14" xfId="0" applyNumberFormat="1" applyFill="1" applyBorder="1" applyAlignment="1">
      <alignment horizontal="center" vertical="center"/>
    </xf>
    <xf numFmtId="1" fontId="0" fillId="0" borderId="0" xfId="0" applyNumberFormat="1"/>
    <xf numFmtId="0" fontId="2" fillId="7" borderId="34" xfId="0" applyFont="1" applyFill="1" applyBorder="1" applyAlignment="1">
      <alignment horizontal="center" vertical="center"/>
    </xf>
    <xf numFmtId="1" fontId="0" fillId="7" borderId="0" xfId="0" applyNumberFormat="1" applyFill="1"/>
    <xf numFmtId="0" fontId="0" fillId="7" borderId="0" xfId="0" applyFill="1"/>
    <xf numFmtId="0" fontId="2" fillId="9" borderId="34" xfId="0" applyFont="1" applyFill="1" applyBorder="1" applyAlignment="1">
      <alignment horizontal="center" vertical="center" wrapText="1"/>
    </xf>
    <xf numFmtId="1" fontId="0" fillId="9" borderId="0" xfId="0" applyNumberFormat="1" applyFill="1"/>
    <xf numFmtId="0" fontId="0" fillId="9" borderId="0" xfId="0" applyFill="1"/>
    <xf numFmtId="0" fontId="2" fillId="10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Fill="1" applyBorder="1"/>
    <xf numFmtId="0" fontId="2" fillId="10" borderId="35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0" fillId="0" borderId="38" xfId="0" applyBorder="1"/>
    <xf numFmtId="0" fontId="0" fillId="0" borderId="0" xfId="0" applyBorder="1"/>
    <xf numFmtId="0" fontId="0" fillId="0" borderId="39" xfId="0" applyBorder="1"/>
    <xf numFmtId="0" fontId="2" fillId="0" borderId="40" xfId="0" applyFont="1" applyBorder="1"/>
    <xf numFmtId="0" fontId="2" fillId="0" borderId="41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2" fillId="10" borderId="46" xfId="0" applyFont="1" applyFill="1" applyBorder="1" applyAlignment="1">
      <alignment horizontal="center" vertical="center"/>
    </xf>
    <xf numFmtId="0" fontId="2" fillId="10" borderId="47" xfId="0" applyFont="1" applyFill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0" borderId="49" xfId="0" applyFont="1" applyFill="1" applyBorder="1" applyAlignment="1">
      <alignment horizontal="center" vertical="center"/>
    </xf>
    <xf numFmtId="0" fontId="2" fillId="10" borderId="50" xfId="0" applyFont="1" applyFill="1" applyBorder="1" applyAlignment="1">
      <alignment horizontal="center" vertical="center"/>
    </xf>
    <xf numFmtId="0" fontId="2" fillId="10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C44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owerPivotData" Target="model/item.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0A6C-1331-4129-8A77-A19FB85A56BF}">
  <sheetPr codeName="Sheet9"/>
  <dimension ref="A1:F22"/>
  <sheetViews>
    <sheetView workbookViewId="0">
      <selection activeCell="B6" sqref="B6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/>
      <c r="B6" s="1" t="str">
        <f>IF('Skill Index'!C4=9,'Skill Index'!A4,"")</f>
        <v/>
      </c>
      <c r="C6" s="1" t="str">
        <f>IF('Skill Index'!C4=8,'Skill Index'!A4,"")</f>
        <v>Ankit Rajput</v>
      </c>
      <c r="D6" s="1" t="str">
        <f>IF('Skill Index'!C4=7,'Skill Index'!A4,"")</f>
        <v/>
      </c>
      <c r="E6" s="1" t="str">
        <f>IF('Skill Index'!C4=6,'Skill Index'!A4,"")</f>
        <v/>
      </c>
      <c r="F6" s="1" t="str">
        <f>IF('Skill Index'!C4&lt;6,'Skill Index'!A4,"")</f>
        <v/>
      </c>
    </row>
    <row r="7" spans="1:6" x14ac:dyDescent="0.35">
      <c r="A7" s="1"/>
      <c r="B7" s="1" t="str">
        <f>IF('Skill Index'!C5=9,'Skill Index'!A5,"")</f>
        <v/>
      </c>
      <c r="C7" s="1" t="str">
        <f>IF('Skill Index'!C5=8,'Skill Index'!A5,"")</f>
        <v/>
      </c>
      <c r="D7" s="1" t="str">
        <f>IF('Skill Index'!C5=7,'Skill Index'!A5,"")</f>
        <v/>
      </c>
      <c r="E7" s="1" t="str">
        <f>IF('Skill Index'!C5=6,'Skill Index'!A5,"")</f>
        <v>Anusha Gunda</v>
      </c>
      <c r="F7" s="1" t="str">
        <f>IF('Skill Index'!C5&lt;6,'Skill Index'!A5,"")</f>
        <v/>
      </c>
    </row>
    <row r="8" spans="1:6" x14ac:dyDescent="0.35">
      <c r="A8" s="1"/>
      <c r="B8" s="1" t="str">
        <f>IF('Skill Index'!C6=9,'Skill Index'!A6,"")</f>
        <v/>
      </c>
      <c r="C8" s="1" t="str">
        <f>IF('Skill Index'!C6=8,'Skill Index'!A6,"")</f>
        <v/>
      </c>
      <c r="D8" s="1" t="str">
        <f>IF('Skill Index'!C6=7,'Skill Index'!A6,"")</f>
        <v/>
      </c>
      <c r="E8" s="1" t="str">
        <f>IF('Skill Index'!C6=6,'Skill Index'!A6,"")</f>
        <v/>
      </c>
      <c r="F8" s="1" t="str">
        <f>IF('Skill Index'!C6&lt;6,'Skill Index'!A6,"")</f>
        <v>Arun Kumar</v>
      </c>
    </row>
    <row r="9" spans="1:6" x14ac:dyDescent="0.35">
      <c r="A9" s="1"/>
      <c r="B9" s="1" t="str">
        <f>IF('Skill Index'!C7=9,'Skill Index'!A7,"")</f>
        <v/>
      </c>
      <c r="C9" s="1" t="str">
        <f>IF('Skill Index'!C7=8,'Skill Index'!A7,"")</f>
        <v>Ashraya H D</v>
      </c>
      <c r="D9" s="1" t="str">
        <f>IF('Skill Index'!C7=7,'Skill Index'!A7,"")</f>
        <v/>
      </c>
      <c r="E9" s="1" t="str">
        <f>IF('Skill Index'!C7=6,'Skill Index'!A7,"")</f>
        <v/>
      </c>
      <c r="F9" s="1" t="str">
        <f>IF('Skill Index'!C7&lt;6,'Skill Index'!A7,"")</f>
        <v/>
      </c>
    </row>
    <row r="10" spans="1:6" x14ac:dyDescent="0.35">
      <c r="A10" s="1"/>
      <c r="B10" s="1" t="str">
        <f>IF('Skill Index'!C8=9,'Skill Index'!A8,"")</f>
        <v/>
      </c>
      <c r="C10" s="1" t="str">
        <f>IF('Skill Index'!C8=8,'Skill Index'!A8,"")</f>
        <v/>
      </c>
      <c r="D10" s="1" t="str">
        <f>IF('Skill Index'!C8=7,'Skill Index'!A8,"")</f>
        <v/>
      </c>
      <c r="E10" s="1" t="str">
        <f>IF('Skill Index'!C8=6,'Skill Index'!A8,"")</f>
        <v>Jeet Doshi</v>
      </c>
      <c r="F10" s="1" t="str">
        <f>IF('Skill Index'!C8&lt;6,'Skill Index'!A8,"")</f>
        <v/>
      </c>
    </row>
    <row r="11" spans="1:6" x14ac:dyDescent="0.35">
      <c r="A11" s="1"/>
      <c r="B11" s="1" t="str">
        <f>IF('Skill Index'!C9=9,'Skill Index'!A9,"")</f>
        <v/>
      </c>
      <c r="C11" s="1" t="str">
        <f>IF('Skill Index'!C9=8,'Skill Index'!A9,"")</f>
        <v/>
      </c>
      <c r="D11" s="1" t="str">
        <f>IF('Skill Index'!C9=7,'Skill Index'!A9,"")</f>
        <v/>
      </c>
      <c r="E11" s="1" t="str">
        <f>IF('Skill Index'!C9=6,'Skill Index'!A9,"")</f>
        <v/>
      </c>
      <c r="F11" s="1" t="str">
        <f>IF('Skill Index'!C9&lt;6,'Skill Index'!A9,"")</f>
        <v>Mahesh Kumar</v>
      </c>
    </row>
    <row r="12" spans="1:6" x14ac:dyDescent="0.35">
      <c r="A12" s="1"/>
      <c r="B12" s="1" t="str">
        <f>IF('Skill Index'!C10=9,'Skill Index'!A10,"")</f>
        <v/>
      </c>
      <c r="C12" s="1" t="str">
        <f>IF('Skill Index'!C10=8,'Skill Index'!A10,"")</f>
        <v/>
      </c>
      <c r="D12" s="1" t="str">
        <f>IF('Skill Index'!C10=7,'Skill Index'!A10,"")</f>
        <v>Nilekha Repaka</v>
      </c>
      <c r="E12" s="1" t="str">
        <f>IF('Skill Index'!C10=6,'Skill Index'!A10,"")</f>
        <v/>
      </c>
      <c r="F12" s="1" t="str">
        <f>IF('Skill Index'!C10&lt;6,'Skill Index'!A10,"")</f>
        <v/>
      </c>
    </row>
    <row r="13" spans="1:6" x14ac:dyDescent="0.35">
      <c r="A13" s="1"/>
      <c r="B13" s="1" t="str">
        <f>IF('Skill Index'!C11=9,'Skill Index'!A11,"")</f>
        <v/>
      </c>
      <c r="C13" s="1" t="str">
        <f>IF('Skill Index'!C11=8,'Skill Index'!A11,"")</f>
        <v>Pawan Rathore</v>
      </c>
      <c r="D13" s="1" t="str">
        <f>IF('Skill Index'!C11=7,'Skill Index'!A11,"")</f>
        <v/>
      </c>
      <c r="E13" s="1" t="str">
        <f>IF('Skill Index'!C11=6,'Skill Index'!A11,"")</f>
        <v/>
      </c>
      <c r="F13" s="1" t="str">
        <f>IF('Skill Index'!C11&lt;6,'Skill Index'!A11,"")</f>
        <v/>
      </c>
    </row>
    <row r="14" spans="1:6" x14ac:dyDescent="0.35">
      <c r="A14" s="1"/>
      <c r="B14" s="1" t="str">
        <f>IF('Skill Index'!C12=9,'Skill Index'!A12,"")</f>
        <v/>
      </c>
      <c r="C14" s="1" t="str">
        <f>IF('Skill Index'!C12=8,'Skill Index'!A12,"")</f>
        <v/>
      </c>
      <c r="D14" s="1" t="str">
        <f>IF('Skill Index'!C12=7,'Skill Index'!A12,"")</f>
        <v>Priyesh Tiwari</v>
      </c>
      <c r="E14" s="1" t="str">
        <f>IF('Skill Index'!C12=6,'Skill Index'!A12,"")</f>
        <v/>
      </c>
      <c r="F14" s="1" t="str">
        <f>IF('Skill Index'!C12&lt;6,'Skill Index'!A12,"")</f>
        <v/>
      </c>
    </row>
    <row r="15" spans="1:6" x14ac:dyDescent="0.35">
      <c r="A15" s="1"/>
      <c r="B15" s="1" t="str">
        <f>IF('Skill Index'!C13=9,'Skill Index'!A13,"")</f>
        <v/>
      </c>
      <c r="C15" s="1" t="str">
        <f>IF('Skill Index'!C13=8,'Skill Index'!A13,"")</f>
        <v/>
      </c>
      <c r="D15" s="1" t="str">
        <f>IF('Skill Index'!C13=7,'Skill Index'!A13,"")</f>
        <v/>
      </c>
      <c r="E15" s="1" t="str">
        <f>IF('Skill Index'!C13=6,'Skill Index'!A13,"")</f>
        <v>Rahul Kumar</v>
      </c>
      <c r="F15" s="1" t="str">
        <f>IF('Skill Index'!C13&lt;6,'Skill Index'!A13,"")</f>
        <v/>
      </c>
    </row>
    <row r="16" spans="1:6" x14ac:dyDescent="0.35">
      <c r="A16" s="1"/>
      <c r="B16" s="1" t="str">
        <f>IF('Skill Index'!C14=9,'Skill Index'!A14,"")</f>
        <v/>
      </c>
      <c r="C16" s="1" t="str">
        <f>IF('Skill Index'!C14=8,'Skill Index'!A14,"")</f>
        <v/>
      </c>
      <c r="D16" s="1" t="str">
        <f>IF('Skill Index'!C14=7,'Skill Index'!A14,"")</f>
        <v/>
      </c>
      <c r="E16" s="1" t="str">
        <f>IF('Skill Index'!C14=6,'Skill Index'!A14,"")</f>
        <v>Ramkrishna Kadiya</v>
      </c>
      <c r="F16" s="1" t="str">
        <f>IF('Skill Index'!C14&lt;6,'Skill Index'!A14,"")</f>
        <v/>
      </c>
    </row>
    <row r="17" spans="1:6" x14ac:dyDescent="0.35">
      <c r="A17" s="1"/>
      <c r="B17" s="1" t="str">
        <f>IF('Skill Index'!C15=9,'Skill Index'!A15,"")</f>
        <v/>
      </c>
      <c r="C17" s="1" t="str">
        <f>IF('Skill Index'!C15=8,'Skill Index'!A15,"")</f>
        <v/>
      </c>
      <c r="D17" s="1" t="str">
        <f>IF('Skill Index'!C15=7,'Skill Index'!A15,"")</f>
        <v/>
      </c>
      <c r="E17" s="1" t="str">
        <f>IF('Skill Index'!C15=6,'Skill Index'!A15,"")</f>
        <v>Revanth Anguluri</v>
      </c>
      <c r="F17" s="1" t="str">
        <f>IF('Skill Index'!C15&lt;6,'Skill Index'!A15,"")</f>
        <v/>
      </c>
    </row>
    <row r="18" spans="1:6" x14ac:dyDescent="0.35">
      <c r="A18" s="1"/>
      <c r="B18" s="1" t="str">
        <f>IF('Skill Index'!C16=9,'Skill Index'!A16,"")</f>
        <v/>
      </c>
      <c r="C18" s="1" t="str">
        <f>IF('Skill Index'!C16=8,'Skill Index'!A16,"")</f>
        <v/>
      </c>
      <c r="D18" s="1" t="str">
        <f>IF('Skill Index'!C16=7,'Skill Index'!A16,"")</f>
        <v/>
      </c>
      <c r="E18" s="1" t="str">
        <f>IF('Skill Index'!C16=6,'Skill Index'!A16,"")</f>
        <v>Sagar Sable</v>
      </c>
      <c r="F18" s="1" t="str">
        <f>IF('Skill Index'!C16&lt;6,'Skill Index'!A16,"")</f>
        <v/>
      </c>
    </row>
    <row r="19" spans="1:6" x14ac:dyDescent="0.35">
      <c r="A19" s="1"/>
      <c r="B19" s="1" t="str">
        <f>IF('Skill Index'!C17=9,'Skill Index'!A17,"")</f>
        <v/>
      </c>
      <c r="C19" s="1" t="str">
        <f>IF('Skill Index'!C17=8,'Skill Index'!A17,"")</f>
        <v/>
      </c>
      <c r="D19" s="1" t="str">
        <f>IF('Skill Index'!C17=7,'Skill Index'!A17,"")</f>
        <v/>
      </c>
      <c r="E19" s="1" t="str">
        <f>IF('Skill Index'!C17=6,'Skill Index'!A17,"")</f>
        <v/>
      </c>
      <c r="F19" s="1" t="str">
        <f>IF('Skill Index'!C17&lt;6,'Skill Index'!A17,"")</f>
        <v>Shreya Ramprakash</v>
      </c>
    </row>
    <row r="20" spans="1:6" x14ac:dyDescent="0.35">
      <c r="A20" s="1"/>
      <c r="B20" s="1" t="str">
        <f>IF('Skill Index'!C18=9,'Skill Index'!A18,"")</f>
        <v/>
      </c>
      <c r="C20" s="1" t="str">
        <f>IF('Skill Index'!C18=8,'Skill Index'!A18,"")</f>
        <v/>
      </c>
      <c r="D20" s="1" t="str">
        <f>IF('Skill Index'!C18=7,'Skill Index'!A18,"")</f>
        <v/>
      </c>
      <c r="E20" s="1" t="str">
        <f>IF('Skill Index'!C18=6,'Skill Index'!A18,"")</f>
        <v>Shreyas Risodkar</v>
      </c>
      <c r="F20" s="1" t="str">
        <f>IF('Skill Index'!C18&lt;6,'Skill Index'!A18,"")</f>
        <v/>
      </c>
    </row>
    <row r="21" spans="1:6" x14ac:dyDescent="0.35">
      <c r="A21" s="1"/>
      <c r="B21" s="1" t="str">
        <f>IF('Skill Index'!C19=9,'Skill Index'!A19,"")</f>
        <v/>
      </c>
      <c r="C21" s="1" t="str">
        <f>IF('Skill Index'!C19=8,'Skill Index'!A19,"")</f>
        <v/>
      </c>
      <c r="D21" s="1" t="str">
        <f>IF('Skill Index'!C19=7,'Skill Index'!A19,"")</f>
        <v>Srikirti Raj</v>
      </c>
      <c r="E21" s="1" t="str">
        <f>IF('Skill Index'!C19=6,'Skill Index'!A19,"")</f>
        <v/>
      </c>
      <c r="F21" s="1" t="str">
        <f>IF('Skill Index'!C19&lt;6,'Skill Index'!A19,"")</f>
        <v/>
      </c>
    </row>
    <row r="22" spans="1:6" x14ac:dyDescent="0.35">
      <c r="A22" s="1"/>
      <c r="B22" s="1" t="str">
        <f>IF('Skill Index'!C20=9,'Skill Index'!A20,"")</f>
        <v/>
      </c>
      <c r="C22" s="1" t="str">
        <f>IF('Skill Index'!C20=8,'Skill Index'!A20,"")</f>
        <v/>
      </c>
      <c r="D22" s="1" t="str">
        <f>IF('Skill Index'!C20=7,'Skill Index'!A20,"")</f>
        <v/>
      </c>
      <c r="E22" s="1" t="str">
        <f>IF('Skill Index'!C20=6,'Skill Index'!A20,"")</f>
        <v/>
      </c>
      <c r="F22" s="1" t="str">
        <f>IF('Skill Index'!C20&lt;6,'Skill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91C0-CAAC-4F04-B89D-2B8206ED9E5A}">
  <sheetPr codeName="Sheet12"/>
  <dimension ref="A1:F22"/>
  <sheetViews>
    <sheetView workbookViewId="0">
      <selection activeCell="H16" sqref="H16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3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Index'!D4=10,'Skill Index'!A4,"")</f>
        <v/>
      </c>
      <c r="B6" s="1" t="str">
        <f>IF('Skill Index'!D4=9,'Skill Index'!A4,"")</f>
        <v/>
      </c>
      <c r="C6" s="1" t="str">
        <f>IF('Skill Index'!D4=8,'Skill Index'!A4,"")</f>
        <v>Ankit Rajput</v>
      </c>
      <c r="D6" s="1" t="str">
        <f>IF('Skill Index'!D4=7,'Skill Index'!A4,"")</f>
        <v/>
      </c>
      <c r="E6" s="1" t="str">
        <f>IF('Skill Index'!D4=6,'Skill Index'!A4,"")</f>
        <v/>
      </c>
      <c r="F6" s="1" t="str">
        <f>IF('Skill Index'!D4&lt;6,'Skill Index'!A4,"")</f>
        <v/>
      </c>
    </row>
    <row r="7" spans="1:6" x14ac:dyDescent="0.35">
      <c r="A7" s="1" t="str">
        <f>IF('Skill Index'!D5=10,'Skill Index'!A5,"")</f>
        <v/>
      </c>
      <c r="B7" s="1" t="str">
        <f>IF('Skill Index'!D5=9,'Skill Index'!A5,"")</f>
        <v/>
      </c>
      <c r="C7" s="1" t="str">
        <f>IF('Skill Index'!D5=8,'Skill Index'!A5,"")</f>
        <v/>
      </c>
      <c r="D7" s="1" t="str">
        <f>IF('Skill Index'!D5=7,'Skill Index'!A5,"")</f>
        <v/>
      </c>
      <c r="E7" s="1" t="str">
        <f>IF('Skill Index'!D5=6,'Skill Index'!A5,"")</f>
        <v>Anusha Gunda</v>
      </c>
      <c r="F7" s="1" t="str">
        <f>IF('Skill Index'!D5&lt;6,'Skill Index'!A5,"")</f>
        <v/>
      </c>
    </row>
    <row r="8" spans="1:6" x14ac:dyDescent="0.35">
      <c r="A8" s="1" t="str">
        <f>IF('Skill Index'!D6=10,'Skill Index'!A6,"")</f>
        <v/>
      </c>
      <c r="B8" s="1" t="str">
        <f>IF('Skill Index'!D6=9,'Skill Index'!A6,"")</f>
        <v/>
      </c>
      <c r="C8" s="1" t="str">
        <f>IF('Skill Index'!D6=8,'Skill Index'!A6,"")</f>
        <v/>
      </c>
      <c r="D8" s="1" t="str">
        <f>IF('Skill Index'!D6=7,'Skill Index'!A6,"")</f>
        <v/>
      </c>
      <c r="E8" s="1" t="str">
        <f>IF('Skill Index'!D6=6,'Skill Index'!A6,"")</f>
        <v/>
      </c>
      <c r="F8" s="1" t="str">
        <f>IF('Skill Index'!D6&lt;6,'Skill Index'!A6,"")</f>
        <v>Arun Kumar</v>
      </c>
    </row>
    <row r="9" spans="1:6" x14ac:dyDescent="0.35">
      <c r="A9" s="1" t="str">
        <f>IF('Skill Index'!D7=10,'Skill Index'!A7,"")</f>
        <v/>
      </c>
      <c r="B9" s="1" t="str">
        <f>IF('Skill Index'!D7=9,'Skill Index'!A7,"")</f>
        <v/>
      </c>
      <c r="C9" s="1" t="str">
        <f>IF('Skill Index'!D7=8,'Skill Index'!A7,"")</f>
        <v>Ashraya H D</v>
      </c>
      <c r="D9" s="1" t="str">
        <f>IF('Skill Index'!D7=7,'Skill Index'!A7,"")</f>
        <v/>
      </c>
      <c r="E9" s="1" t="str">
        <f>IF('Skill Index'!D7=6,'Skill Index'!A7,"")</f>
        <v/>
      </c>
      <c r="F9" s="1" t="str">
        <f>IF('Skill Index'!D7&lt;6,'Skill Index'!A7,"")</f>
        <v/>
      </c>
    </row>
    <row r="10" spans="1:6" x14ac:dyDescent="0.35">
      <c r="A10" s="1" t="str">
        <f>IF('Skill Index'!D8=10,'Skill Index'!A8,"")</f>
        <v/>
      </c>
      <c r="B10" s="1" t="str">
        <f>IF('Skill Index'!D8=9,'Skill Index'!A8,"")</f>
        <v/>
      </c>
      <c r="C10" s="1" t="str">
        <f>IF('Skill Index'!D8=8,'Skill Index'!A8,"")</f>
        <v/>
      </c>
      <c r="D10" s="1" t="str">
        <f>IF('Skill Index'!D8=7,'Skill Index'!A8,"")</f>
        <v>Jeet Doshi</v>
      </c>
      <c r="E10" s="1" t="str">
        <f>IF('Skill Index'!D8=6,'Skill Index'!A8,"")</f>
        <v/>
      </c>
      <c r="F10" s="1" t="str">
        <f>IF('Skill Index'!D8&lt;6,'Skill Index'!A8,"")</f>
        <v/>
      </c>
    </row>
    <row r="11" spans="1:6" x14ac:dyDescent="0.35">
      <c r="A11" s="1" t="str">
        <f>IF('Skill Index'!D9=10,'Skill Index'!A9,"")</f>
        <v/>
      </c>
      <c r="B11" s="1" t="str">
        <f>IF('Skill Index'!D9=9,'Skill Index'!A9,"")</f>
        <v/>
      </c>
      <c r="C11" s="1" t="str">
        <f>IF('Skill Index'!D9=8,'Skill Index'!A9,"")</f>
        <v/>
      </c>
      <c r="D11" s="1" t="str">
        <f>IF('Skill Index'!D9=7,'Skill Index'!A9,"")</f>
        <v/>
      </c>
      <c r="E11" s="1" t="str">
        <f>IF('Skill Index'!D9=6,'Skill Index'!A9,"")</f>
        <v/>
      </c>
      <c r="F11" s="1" t="str">
        <f>IF('Skill Index'!D9&lt;6,'Skill Index'!A9,"")</f>
        <v>Mahesh Kumar</v>
      </c>
    </row>
    <row r="12" spans="1:6" x14ac:dyDescent="0.35">
      <c r="A12" s="1" t="str">
        <f>IF('Skill Index'!D10=10,'Skill Index'!A10,"")</f>
        <v/>
      </c>
      <c r="B12" s="1" t="str">
        <f>IF('Skill Index'!D10=9,'Skill Index'!A10,"")</f>
        <v/>
      </c>
      <c r="C12" s="1" t="str">
        <f>IF('Skill Index'!D10=8,'Skill Index'!A10,"")</f>
        <v>Nilekha Repaka</v>
      </c>
      <c r="D12" s="1" t="str">
        <f>IF('Skill Index'!D10=7,'Skill Index'!A10,"")</f>
        <v/>
      </c>
      <c r="E12" s="1" t="str">
        <f>IF('Skill Index'!D10=6,'Skill Index'!A10,"")</f>
        <v/>
      </c>
      <c r="F12" s="1" t="str">
        <f>IF('Skill Index'!D10&lt;6,'Skill Index'!A10,"")</f>
        <v/>
      </c>
    </row>
    <row r="13" spans="1:6" x14ac:dyDescent="0.35">
      <c r="A13" s="1" t="str">
        <f>IF('Skill Index'!D11=10,'Skill Index'!A11,"")</f>
        <v/>
      </c>
      <c r="B13" s="1" t="str">
        <f>IF('Skill Index'!D11=9,'Skill Index'!A11,"")</f>
        <v/>
      </c>
      <c r="C13" s="1" t="str">
        <f>IF('Skill Index'!D11=8,'Skill Index'!A11,"")</f>
        <v>Pawan Rathore</v>
      </c>
      <c r="D13" s="1" t="str">
        <f>IF('Skill Index'!D11=7,'Skill Index'!A11,"")</f>
        <v/>
      </c>
      <c r="E13" s="1" t="str">
        <f>IF('Skill Index'!D11=6,'Skill Index'!A11,"")</f>
        <v/>
      </c>
      <c r="F13" s="1" t="str">
        <f>IF('Skill Index'!D11&lt;6,'Skill Index'!A11,"")</f>
        <v/>
      </c>
    </row>
    <row r="14" spans="1:6" x14ac:dyDescent="0.35">
      <c r="A14" s="1" t="str">
        <f>IF('Skill Index'!D12=10,'Skill Index'!A12,"")</f>
        <v/>
      </c>
      <c r="B14" s="1" t="str">
        <f>IF('Skill Index'!D12=9,'Skill Index'!A12,"")</f>
        <v/>
      </c>
      <c r="C14" s="1" t="str">
        <f>IF('Skill Index'!D12=8,'Skill Index'!A12,"")</f>
        <v>Priyesh Tiwari</v>
      </c>
      <c r="D14" s="1" t="str">
        <f>IF('Skill Index'!D12=7,'Skill Index'!A12,"")</f>
        <v/>
      </c>
      <c r="E14" s="1" t="str">
        <f>IF('Skill Index'!D12=6,'Skill Index'!A12,"")</f>
        <v/>
      </c>
      <c r="F14" s="1" t="str">
        <f>IF('Skill Index'!D12&lt;6,'Skill Index'!A12,"")</f>
        <v/>
      </c>
    </row>
    <row r="15" spans="1:6" x14ac:dyDescent="0.35">
      <c r="A15" s="1" t="str">
        <f>IF('Skill Index'!D13=10,'Skill Index'!A13,"")</f>
        <v/>
      </c>
      <c r="B15" s="1" t="str">
        <f>IF('Skill Index'!D13=9,'Skill Index'!A13,"")</f>
        <v/>
      </c>
      <c r="C15" s="1" t="str">
        <f>IF('Skill Index'!D13=8,'Skill Index'!A13,"")</f>
        <v>Rahul Kumar</v>
      </c>
      <c r="D15" s="1" t="str">
        <f>IF('Skill Index'!D13=7,'Skill Index'!A13,"")</f>
        <v/>
      </c>
      <c r="E15" s="1" t="str">
        <f>IF('Skill Index'!D13=6,'Skill Index'!A13,"")</f>
        <v/>
      </c>
      <c r="F15" s="1" t="str">
        <f>IF('Skill Index'!D13&lt;6,'Skill Index'!A13,"")</f>
        <v/>
      </c>
    </row>
    <row r="16" spans="1:6" x14ac:dyDescent="0.35">
      <c r="A16" s="1" t="str">
        <f>IF('Skill Index'!D14=10,'Skill Index'!A14,"")</f>
        <v/>
      </c>
      <c r="B16" s="1" t="str">
        <f>IF('Skill Index'!D14=9,'Skill Index'!A14,"")</f>
        <v/>
      </c>
      <c r="C16" s="1" t="str">
        <f>IF('Skill Index'!D14=8,'Skill Index'!A14,"")</f>
        <v/>
      </c>
      <c r="D16" s="1" t="str">
        <f>IF('Skill Index'!D14=7,'Skill Index'!A14,"")</f>
        <v>Ramkrishna Kadiya</v>
      </c>
      <c r="E16" s="1" t="str">
        <f>IF('Skill Index'!D14=6,'Skill Index'!A14,"")</f>
        <v/>
      </c>
      <c r="F16" s="1" t="str">
        <f>IF('Skill Index'!D14&lt;6,'Skill Index'!A14,"")</f>
        <v/>
      </c>
    </row>
    <row r="17" spans="1:6" x14ac:dyDescent="0.35">
      <c r="A17" s="1" t="str">
        <f>IF('Skill Index'!D15=10,'Skill Index'!A15,"")</f>
        <v/>
      </c>
      <c r="B17" s="1" t="str">
        <f>IF('Skill Index'!D15=9,'Skill Index'!A15,"")</f>
        <v/>
      </c>
      <c r="C17" s="1" t="str">
        <f>IF('Skill Index'!D15=8,'Skill Index'!A15,"")</f>
        <v/>
      </c>
      <c r="D17" s="1" t="str">
        <f>IF('Skill Index'!D15=7,'Skill Index'!A15,"")</f>
        <v/>
      </c>
      <c r="E17" s="1" t="str">
        <f>IF('Skill Index'!D15=6,'Skill Index'!A15,"")</f>
        <v>Revanth Anguluri</v>
      </c>
      <c r="F17" s="1" t="str">
        <f>IF('Skill Index'!D15&lt;6,'Skill Index'!A15,"")</f>
        <v/>
      </c>
    </row>
    <row r="18" spans="1:6" x14ac:dyDescent="0.35">
      <c r="A18" s="1" t="str">
        <f>IF('Skill Index'!D16=10,'Skill Index'!A16,"")</f>
        <v/>
      </c>
      <c r="B18" s="1" t="str">
        <f>IF('Skill Index'!D16=9,'Skill Index'!A16,"")</f>
        <v/>
      </c>
      <c r="C18" s="1" t="str">
        <f>IF('Skill Index'!D16=8,'Skill Index'!A16,"")</f>
        <v/>
      </c>
      <c r="D18" s="1" t="str">
        <f>IF('Skill Index'!D16=7,'Skill Index'!A16,"")</f>
        <v>Sagar Sable</v>
      </c>
      <c r="E18" s="1" t="str">
        <f>IF('Skill Index'!D16=6,'Skill Index'!A16,"")</f>
        <v/>
      </c>
      <c r="F18" s="1" t="str">
        <f>IF('Skill Index'!D16&lt;6,'Skill Index'!A16,"")</f>
        <v/>
      </c>
    </row>
    <row r="19" spans="1:6" x14ac:dyDescent="0.35">
      <c r="A19" s="1" t="str">
        <f>IF('Skill Index'!D17=10,'Skill Index'!A17,"")</f>
        <v/>
      </c>
      <c r="B19" s="1" t="str">
        <f>IF('Skill Index'!D17=9,'Skill Index'!A17,"")</f>
        <v/>
      </c>
      <c r="C19" s="1" t="str">
        <f>IF('Skill Index'!D17=8,'Skill Index'!A17,"")</f>
        <v/>
      </c>
      <c r="D19" s="1" t="str">
        <f>IF('Skill Index'!D17=7,'Skill Index'!A17,"")</f>
        <v/>
      </c>
      <c r="E19" s="1" t="str">
        <f>IF('Skill Index'!D17=6,'Skill Index'!A17,"")</f>
        <v>Shreya Ramprakash</v>
      </c>
      <c r="F19" s="1" t="str">
        <f>IF('Skill Index'!D17&lt;6,'Skill Index'!A17,"")</f>
        <v/>
      </c>
    </row>
    <row r="20" spans="1:6" x14ac:dyDescent="0.35">
      <c r="A20" s="1" t="str">
        <f>IF('Skill Index'!D18=10,'Skill Index'!A18,"")</f>
        <v/>
      </c>
      <c r="B20" s="1" t="str">
        <f>IF('Skill Index'!D18=9,'Skill Index'!A18,"")</f>
        <v/>
      </c>
      <c r="C20" s="1" t="str">
        <f>IF('Skill Index'!D18=8,'Skill Index'!A18,"")</f>
        <v>Shreyas Risodkar</v>
      </c>
      <c r="D20" s="1" t="str">
        <f>IF('Skill Index'!D18=7,'Skill Index'!A18,"")</f>
        <v/>
      </c>
      <c r="E20" s="1" t="str">
        <f>IF('Skill Index'!D18=6,'Skill Index'!A18,"")</f>
        <v/>
      </c>
      <c r="F20" s="1" t="str">
        <f>IF('Skill Index'!D18&lt;6,'Skill Index'!A18,"")</f>
        <v/>
      </c>
    </row>
    <row r="21" spans="1:6" x14ac:dyDescent="0.35">
      <c r="A21" s="1" t="str">
        <f>IF('Skill Index'!D19=10,'Skill Index'!A19,"")</f>
        <v/>
      </c>
      <c r="B21" s="1" t="str">
        <f>IF('Skill Index'!D19=9,'Skill Index'!A19,"")</f>
        <v>Srikirti Raj</v>
      </c>
      <c r="C21" s="1" t="str">
        <f>IF('Skill Index'!D19=8,'Skill Index'!A19,"")</f>
        <v/>
      </c>
      <c r="D21" s="1" t="str">
        <f>IF('Skill Index'!D19=7,'Skill Index'!A19,"")</f>
        <v/>
      </c>
      <c r="E21" s="1" t="str">
        <f>IF('Skill Index'!D19=6,'Skill Index'!A19,"")</f>
        <v/>
      </c>
      <c r="F21" s="1" t="str">
        <f>IF('Skill Index'!D19&lt;6,'Skill Index'!A19,"")</f>
        <v/>
      </c>
    </row>
    <row r="22" spans="1:6" x14ac:dyDescent="0.35">
      <c r="A22" s="1" t="str">
        <f>IF('Skill Index'!D20=10,'Skill Index'!A20,"")</f>
        <v/>
      </c>
      <c r="B22" s="1" t="str">
        <f>IF('Skill Index'!D20=9,'Skill Index'!A20,"")</f>
        <v/>
      </c>
      <c r="C22" s="1" t="str">
        <f>IF('Skill Index'!D20=8,'Skill Index'!A20,"")</f>
        <v/>
      </c>
      <c r="D22" s="1" t="str">
        <f>IF('Skill Index'!D20=7,'Skill Index'!A20,"")</f>
        <v/>
      </c>
      <c r="E22" s="1" t="str">
        <f>IF('Skill Index'!D20=6,'Skill Index'!A20,"")</f>
        <v>Swetha KJ</v>
      </c>
      <c r="F22" s="1" t="str">
        <f>IF('Skill Index'!D20&lt;6,'Skill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A1D9-F8B0-45E2-8418-08195F3F8C86}">
  <sheetPr codeName="Sheet1"/>
  <dimension ref="A1:BA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" sqref="E1:F1"/>
    </sheetView>
  </sheetViews>
  <sheetFormatPr defaultColWidth="8.81640625" defaultRowHeight="15" customHeight="1" x14ac:dyDescent="0.35"/>
  <cols>
    <col min="1" max="1" width="19" bestFit="1" customWidth="1"/>
    <col min="2" max="2" width="7.7265625" style="8" customWidth="1"/>
    <col min="3" max="3" width="29.26953125" bestFit="1" customWidth="1"/>
    <col min="4" max="4" width="18.26953125" bestFit="1" customWidth="1"/>
    <col min="5" max="5" width="19" bestFit="1" customWidth="1"/>
    <col min="6" max="6" width="14.453125" bestFit="1" customWidth="1"/>
    <col min="7" max="7" width="20.81640625" customWidth="1"/>
    <col min="8" max="8" width="16.54296875" customWidth="1"/>
    <col min="9" max="9" width="13" customWidth="1"/>
    <col min="10" max="10" width="9.1796875" customWidth="1"/>
    <col min="11" max="11" width="13.453125" bestFit="1" customWidth="1"/>
    <col min="12" max="12" width="14.453125" bestFit="1" customWidth="1"/>
    <col min="13" max="14" width="19" bestFit="1" customWidth="1"/>
    <col min="15" max="16" width="14.453125" bestFit="1" customWidth="1"/>
    <col min="17" max="17" width="19" bestFit="1" customWidth="1"/>
    <col min="18" max="18" width="14.453125" bestFit="1" customWidth="1"/>
    <col min="19" max="19" width="19" bestFit="1" customWidth="1"/>
    <col min="20" max="20" width="14.453125" bestFit="1" customWidth="1"/>
    <col min="21" max="21" width="14.453125" customWidth="1"/>
    <col min="22" max="22" width="14.453125" bestFit="1" customWidth="1"/>
    <col min="23" max="23" width="20.1796875" bestFit="1" customWidth="1"/>
    <col min="24" max="24" width="14.453125" bestFit="1" customWidth="1"/>
    <col min="25" max="25" width="16.7265625" bestFit="1" customWidth="1"/>
    <col min="26" max="28" width="14.453125" bestFit="1" customWidth="1"/>
    <col min="29" max="29" width="19" bestFit="1" customWidth="1"/>
    <col min="30" max="31" width="14.453125" bestFit="1" customWidth="1"/>
    <col min="32" max="32" width="5.81640625" bestFit="1" customWidth="1"/>
    <col min="33" max="33" width="7.7265625" bestFit="1" customWidth="1"/>
    <col min="34" max="34" width="8.81640625" bestFit="1" customWidth="1"/>
    <col min="35" max="35" width="21.1796875" bestFit="1" customWidth="1"/>
    <col min="36" max="36" width="5.81640625" bestFit="1" customWidth="1"/>
    <col min="37" max="37" width="7.7265625" bestFit="1" customWidth="1"/>
    <col min="39" max="39" width="21.1796875" bestFit="1" customWidth="1"/>
    <col min="40" max="40" width="17.81640625" bestFit="1" customWidth="1"/>
    <col min="41" max="41" width="7" bestFit="1" customWidth="1"/>
    <col min="42" max="42" width="5.26953125" bestFit="1" customWidth="1"/>
    <col min="43" max="43" width="8.81640625" bestFit="1" customWidth="1"/>
    <col min="44" max="44" width="9.453125" bestFit="1" customWidth="1"/>
    <col min="45" max="45" width="10.1796875" bestFit="1" customWidth="1"/>
    <col min="46" max="46" width="4.81640625" bestFit="1" customWidth="1"/>
    <col min="47" max="47" width="5.7265625" bestFit="1" customWidth="1"/>
    <col min="48" max="48" width="4.7265625" bestFit="1" customWidth="1"/>
    <col min="49" max="49" width="20.1796875" customWidth="1"/>
    <col min="50" max="50" width="25" customWidth="1"/>
    <col min="51" max="51" width="19.81640625" customWidth="1"/>
    <col min="52" max="52" width="24.453125" bestFit="1" customWidth="1"/>
    <col min="53" max="53" width="12.7265625" bestFit="1" customWidth="1"/>
  </cols>
  <sheetData>
    <row r="1" spans="1:53" ht="25.5" customHeight="1" x14ac:dyDescent="0.35">
      <c r="A1" s="23" t="s">
        <v>0</v>
      </c>
      <c r="B1" s="24" t="s">
        <v>1</v>
      </c>
      <c r="C1" s="23" t="s">
        <v>2</v>
      </c>
      <c r="D1" s="23" t="s">
        <v>3</v>
      </c>
      <c r="E1" s="61" t="s">
        <v>4</v>
      </c>
      <c r="F1" s="61"/>
      <c r="G1" s="61" t="s">
        <v>5</v>
      </c>
      <c r="H1" s="61"/>
      <c r="I1" s="61" t="s">
        <v>6</v>
      </c>
      <c r="J1" s="61"/>
      <c r="K1" s="61"/>
      <c r="L1" s="61"/>
      <c r="M1" s="23" t="s">
        <v>7</v>
      </c>
      <c r="N1" s="61" t="s">
        <v>8</v>
      </c>
      <c r="O1" s="61"/>
      <c r="P1" s="23" t="s">
        <v>9</v>
      </c>
      <c r="Q1" s="61" t="s">
        <v>10</v>
      </c>
      <c r="R1" s="61"/>
      <c r="S1" s="61" t="s">
        <v>11</v>
      </c>
      <c r="T1" s="61"/>
      <c r="U1" s="18" t="s">
        <v>12</v>
      </c>
      <c r="V1" s="18" t="s">
        <v>13</v>
      </c>
      <c r="W1" s="18" t="s">
        <v>14</v>
      </c>
      <c r="X1" s="18" t="s">
        <v>15</v>
      </c>
      <c r="Y1" s="18" t="s">
        <v>16</v>
      </c>
      <c r="Z1" s="18" t="s">
        <v>17</v>
      </c>
      <c r="AA1" s="18" t="s">
        <v>18</v>
      </c>
      <c r="AB1" s="18" t="s">
        <v>19</v>
      </c>
      <c r="AC1" s="60" t="s">
        <v>20</v>
      </c>
      <c r="AD1" s="60"/>
      <c r="AE1" s="18" t="s">
        <v>21</v>
      </c>
      <c r="AF1" s="60" t="s">
        <v>22</v>
      </c>
      <c r="AG1" s="60"/>
      <c r="AH1" s="60"/>
      <c r="AI1" s="60"/>
      <c r="AJ1" s="60"/>
      <c r="AK1" s="60"/>
      <c r="AL1" s="60"/>
      <c r="AM1" s="60"/>
      <c r="AN1" s="18" t="s">
        <v>23</v>
      </c>
      <c r="AO1" s="18" t="s">
        <v>24</v>
      </c>
      <c r="AP1" s="18" t="s">
        <v>25</v>
      </c>
      <c r="AQ1" s="18" t="s">
        <v>26</v>
      </c>
      <c r="AR1" s="18" t="s">
        <v>27</v>
      </c>
      <c r="AS1" s="18" t="s">
        <v>28</v>
      </c>
      <c r="AT1" s="18" t="s">
        <v>29</v>
      </c>
      <c r="AU1" s="18" t="s">
        <v>30</v>
      </c>
      <c r="AV1" s="22" t="s">
        <v>31</v>
      </c>
      <c r="AW1" s="60" t="s">
        <v>32</v>
      </c>
      <c r="AX1" s="60"/>
      <c r="AY1" s="60"/>
      <c r="AZ1" s="59" t="s">
        <v>33</v>
      </c>
      <c r="BA1" s="60"/>
    </row>
    <row r="2" spans="1:53" ht="25.5" customHeight="1" x14ac:dyDescent="0.35">
      <c r="A2" s="25"/>
      <c r="B2" s="26"/>
      <c r="C2" s="25"/>
      <c r="D2" s="25"/>
      <c r="E2" s="25" t="s">
        <v>34</v>
      </c>
      <c r="F2" s="25" t="s">
        <v>35</v>
      </c>
      <c r="G2" s="25" t="s">
        <v>34</v>
      </c>
      <c r="H2" s="25" t="s">
        <v>35</v>
      </c>
      <c r="I2" s="62" t="s">
        <v>34</v>
      </c>
      <c r="J2" s="62"/>
      <c r="K2" s="25" t="s">
        <v>36</v>
      </c>
      <c r="L2" s="25" t="s">
        <v>35</v>
      </c>
      <c r="M2" s="25" t="s">
        <v>34</v>
      </c>
      <c r="N2" s="25" t="s">
        <v>34</v>
      </c>
      <c r="O2" s="25" t="s">
        <v>35</v>
      </c>
      <c r="P2" s="25" t="s">
        <v>35</v>
      </c>
      <c r="Q2" s="25" t="s">
        <v>34</v>
      </c>
      <c r="R2" s="25" t="s">
        <v>35</v>
      </c>
      <c r="S2" s="25" t="s">
        <v>34</v>
      </c>
      <c r="T2" s="25" t="s">
        <v>35</v>
      </c>
      <c r="U2" s="25" t="s">
        <v>35</v>
      </c>
      <c r="V2" s="25" t="s">
        <v>35</v>
      </c>
      <c r="W2" s="25" t="s">
        <v>35</v>
      </c>
      <c r="X2" s="25" t="s">
        <v>35</v>
      </c>
      <c r="Y2" s="25" t="s">
        <v>35</v>
      </c>
      <c r="Z2" s="25" t="s">
        <v>35</v>
      </c>
      <c r="AA2" s="25" t="s">
        <v>35</v>
      </c>
      <c r="AB2" s="25" t="s">
        <v>35</v>
      </c>
      <c r="AC2" s="25" t="s">
        <v>34</v>
      </c>
      <c r="AD2" s="25" t="s">
        <v>35</v>
      </c>
      <c r="AE2" s="25" t="s">
        <v>35</v>
      </c>
      <c r="AF2" s="63" t="s">
        <v>37</v>
      </c>
      <c r="AG2" s="63"/>
      <c r="AH2" s="63"/>
      <c r="AI2" s="63"/>
      <c r="AJ2" s="62" t="s">
        <v>38</v>
      </c>
      <c r="AK2" s="62"/>
      <c r="AL2" s="62"/>
      <c r="AM2" s="62"/>
      <c r="AN2" s="25"/>
      <c r="AO2" s="25"/>
      <c r="AP2" s="25"/>
      <c r="AQ2" s="25"/>
      <c r="AR2" s="25"/>
      <c r="AS2" s="19"/>
      <c r="AT2" s="19"/>
      <c r="AU2" s="19"/>
      <c r="AV2" s="40"/>
      <c r="AW2" s="19" t="s">
        <v>39</v>
      </c>
      <c r="AX2" s="19" t="s">
        <v>40</v>
      </c>
      <c r="AY2" s="19" t="s">
        <v>41</v>
      </c>
      <c r="AZ2" s="44" t="s">
        <v>40</v>
      </c>
      <c r="BA2" s="19" t="s">
        <v>42</v>
      </c>
    </row>
    <row r="3" spans="1:53" ht="27" customHeight="1" x14ac:dyDescent="0.35">
      <c r="A3" s="27" t="s">
        <v>43</v>
      </c>
      <c r="B3" s="28"/>
      <c r="C3" s="29"/>
      <c r="D3" s="29"/>
      <c r="E3" s="29"/>
      <c r="F3" s="29"/>
      <c r="G3" s="29"/>
      <c r="H3" s="29"/>
      <c r="I3" s="30" t="s">
        <v>44</v>
      </c>
      <c r="J3" s="30" t="s">
        <v>37</v>
      </c>
      <c r="K3" s="31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 t="s">
        <v>45</v>
      </c>
      <c r="AG3" s="30" t="s">
        <v>46</v>
      </c>
      <c r="AH3" s="30" t="s">
        <v>41</v>
      </c>
      <c r="AI3" s="30" t="s">
        <v>47</v>
      </c>
      <c r="AJ3" s="30" t="s">
        <v>45</v>
      </c>
      <c r="AK3" s="30" t="s">
        <v>46</v>
      </c>
      <c r="AL3" s="30" t="s">
        <v>41</v>
      </c>
      <c r="AM3" s="30" t="s">
        <v>47</v>
      </c>
      <c r="AN3" s="31"/>
      <c r="AO3" s="31"/>
      <c r="AP3" s="29"/>
      <c r="AQ3" s="29"/>
      <c r="AR3" s="29"/>
      <c r="AS3" s="29"/>
      <c r="AT3" s="29"/>
      <c r="AU3" s="29"/>
      <c r="AV3" s="41"/>
      <c r="AW3" s="29"/>
      <c r="AX3" s="20"/>
      <c r="AY3" s="20"/>
      <c r="AZ3" s="45"/>
      <c r="BA3" s="20"/>
    </row>
    <row r="4" spans="1:53" ht="14.5" x14ac:dyDescent="0.35">
      <c r="A4" s="29" t="s">
        <v>48</v>
      </c>
      <c r="B4" s="32"/>
      <c r="C4" s="33">
        <v>8</v>
      </c>
      <c r="D4" s="33">
        <v>8</v>
      </c>
      <c r="E4" s="33">
        <v>8</v>
      </c>
      <c r="F4" s="33">
        <v>6</v>
      </c>
      <c r="G4" s="33">
        <v>8</v>
      </c>
      <c r="H4" s="33">
        <v>6</v>
      </c>
      <c r="I4" s="33">
        <v>9</v>
      </c>
      <c r="J4" s="33">
        <v>8</v>
      </c>
      <c r="K4" s="33">
        <v>6</v>
      </c>
      <c r="L4" s="33">
        <v>7</v>
      </c>
      <c r="M4" s="33">
        <v>2</v>
      </c>
      <c r="N4" s="33">
        <v>8</v>
      </c>
      <c r="O4" s="33">
        <v>8</v>
      </c>
      <c r="P4" s="33">
        <v>3</v>
      </c>
      <c r="Q4" s="33">
        <v>7</v>
      </c>
      <c r="R4" s="33">
        <v>6</v>
      </c>
      <c r="S4" s="33">
        <v>6</v>
      </c>
      <c r="T4" s="33">
        <v>6</v>
      </c>
      <c r="U4" s="33">
        <v>4</v>
      </c>
      <c r="V4" s="33">
        <v>6</v>
      </c>
      <c r="W4" s="33">
        <v>3</v>
      </c>
      <c r="X4" s="33">
        <v>6</v>
      </c>
      <c r="Y4" s="33">
        <v>6</v>
      </c>
      <c r="Z4" s="33">
        <v>2</v>
      </c>
      <c r="AA4" s="33">
        <v>2</v>
      </c>
      <c r="AB4" s="33">
        <v>5</v>
      </c>
      <c r="AC4" s="33">
        <v>3</v>
      </c>
      <c r="AD4" s="33">
        <v>3</v>
      </c>
      <c r="AE4" s="33">
        <v>3</v>
      </c>
      <c r="AF4" s="33">
        <v>1</v>
      </c>
      <c r="AG4" s="33">
        <v>1</v>
      </c>
      <c r="AH4" s="33">
        <v>1</v>
      </c>
      <c r="AI4" s="33">
        <v>1</v>
      </c>
      <c r="AJ4" s="33">
        <v>3</v>
      </c>
      <c r="AK4" s="33">
        <v>3</v>
      </c>
      <c r="AL4" s="33">
        <v>1</v>
      </c>
      <c r="AM4" s="33">
        <v>3</v>
      </c>
      <c r="AN4" s="33">
        <v>7</v>
      </c>
      <c r="AO4" s="33">
        <v>5</v>
      </c>
      <c r="AP4" s="33">
        <v>2</v>
      </c>
      <c r="AQ4" s="33">
        <v>6</v>
      </c>
      <c r="AR4" s="33">
        <v>7</v>
      </c>
      <c r="AS4" s="33">
        <v>2</v>
      </c>
      <c r="AT4" s="33">
        <v>6</v>
      </c>
      <c r="AU4" s="33">
        <v>5</v>
      </c>
      <c r="AV4" s="42">
        <v>4</v>
      </c>
      <c r="AW4" s="33">
        <v>9</v>
      </c>
      <c r="AX4" s="20">
        <v>8</v>
      </c>
      <c r="AY4" s="20">
        <v>7</v>
      </c>
      <c r="AZ4" s="45">
        <v>7</v>
      </c>
      <c r="BA4" s="20">
        <v>5</v>
      </c>
    </row>
    <row r="5" spans="1:53" ht="14.5" x14ac:dyDescent="0.35">
      <c r="A5" s="29" t="s">
        <v>49</v>
      </c>
      <c r="B5" s="32"/>
      <c r="C5" s="33">
        <v>6</v>
      </c>
      <c r="D5" s="33">
        <v>6</v>
      </c>
      <c r="E5" s="33">
        <v>7</v>
      </c>
      <c r="F5" s="33">
        <v>7</v>
      </c>
      <c r="G5" s="33">
        <v>7</v>
      </c>
      <c r="H5" s="33">
        <v>6</v>
      </c>
      <c r="I5" s="33">
        <v>8</v>
      </c>
      <c r="J5" s="33">
        <v>4</v>
      </c>
      <c r="K5" s="33">
        <v>4</v>
      </c>
      <c r="L5" s="33">
        <v>8</v>
      </c>
      <c r="M5" s="33">
        <v>4</v>
      </c>
      <c r="N5" s="33">
        <v>6</v>
      </c>
      <c r="O5" s="33">
        <v>8</v>
      </c>
      <c r="P5" s="33">
        <v>6</v>
      </c>
      <c r="Q5" s="33">
        <v>6</v>
      </c>
      <c r="R5" s="33">
        <v>6</v>
      </c>
      <c r="S5" s="33">
        <v>6</v>
      </c>
      <c r="T5" s="33">
        <v>7</v>
      </c>
      <c r="U5" s="33">
        <v>6</v>
      </c>
      <c r="V5" s="33">
        <v>4</v>
      </c>
      <c r="W5" s="33">
        <v>3</v>
      </c>
      <c r="X5" s="33">
        <v>3</v>
      </c>
      <c r="Y5" s="33">
        <v>3</v>
      </c>
      <c r="Z5" s="33">
        <v>3</v>
      </c>
      <c r="AA5" s="33">
        <v>6</v>
      </c>
      <c r="AB5" s="33">
        <v>6</v>
      </c>
      <c r="AC5" s="33">
        <v>5</v>
      </c>
      <c r="AD5" s="33">
        <v>6</v>
      </c>
      <c r="AE5" s="33">
        <v>3</v>
      </c>
      <c r="AF5" s="33">
        <v>1</v>
      </c>
      <c r="AG5" s="33">
        <v>1</v>
      </c>
      <c r="AH5" s="33">
        <v>1</v>
      </c>
      <c r="AI5" s="33">
        <v>1</v>
      </c>
      <c r="AJ5" s="33">
        <v>4</v>
      </c>
      <c r="AK5" s="33">
        <v>1</v>
      </c>
      <c r="AL5" s="33">
        <v>1</v>
      </c>
      <c r="AM5" s="33">
        <v>1</v>
      </c>
      <c r="AN5" s="33">
        <v>6</v>
      </c>
      <c r="AO5" s="33">
        <v>4</v>
      </c>
      <c r="AP5" s="33">
        <v>4</v>
      </c>
      <c r="AQ5" s="33">
        <v>4</v>
      </c>
      <c r="AR5" s="33">
        <v>7</v>
      </c>
      <c r="AS5" s="33">
        <v>1</v>
      </c>
      <c r="AT5" s="33">
        <v>1</v>
      </c>
      <c r="AU5" s="33">
        <v>4</v>
      </c>
      <c r="AV5" s="42">
        <v>1</v>
      </c>
      <c r="AW5" s="33">
        <v>4</v>
      </c>
      <c r="AX5" s="20">
        <v>3</v>
      </c>
      <c r="AY5" s="20">
        <v>5</v>
      </c>
      <c r="AZ5" s="45">
        <v>3</v>
      </c>
      <c r="BA5" s="20">
        <v>5</v>
      </c>
    </row>
    <row r="6" spans="1:53" ht="14.5" x14ac:dyDescent="0.35">
      <c r="A6" s="29" t="s">
        <v>50</v>
      </c>
      <c r="B6" s="32"/>
      <c r="C6" s="56">
        <v>1</v>
      </c>
      <c r="D6" s="56">
        <v>1</v>
      </c>
      <c r="E6" s="56">
        <v>1</v>
      </c>
      <c r="F6" s="56">
        <v>1</v>
      </c>
      <c r="G6" s="56">
        <v>1</v>
      </c>
      <c r="H6" s="56">
        <v>1</v>
      </c>
      <c r="I6" s="56">
        <v>1</v>
      </c>
      <c r="J6" s="56">
        <v>1</v>
      </c>
      <c r="K6" s="56">
        <v>1</v>
      </c>
      <c r="L6" s="56">
        <v>1</v>
      </c>
      <c r="M6" s="56">
        <v>1</v>
      </c>
      <c r="N6" s="56">
        <v>1</v>
      </c>
      <c r="O6" s="56">
        <v>1</v>
      </c>
      <c r="P6" s="56">
        <v>1</v>
      </c>
      <c r="Q6" s="56">
        <v>1</v>
      </c>
      <c r="R6" s="56">
        <v>1</v>
      </c>
      <c r="S6" s="56">
        <v>1</v>
      </c>
      <c r="T6" s="56">
        <v>1</v>
      </c>
      <c r="U6" s="56">
        <v>1</v>
      </c>
      <c r="V6" s="56">
        <v>1</v>
      </c>
      <c r="W6" s="56">
        <v>1</v>
      </c>
      <c r="X6" s="56">
        <v>1</v>
      </c>
      <c r="Y6" s="56">
        <v>1</v>
      </c>
      <c r="Z6" s="56">
        <v>1</v>
      </c>
      <c r="AA6" s="56">
        <v>1</v>
      </c>
      <c r="AB6" s="56">
        <v>1</v>
      </c>
      <c r="AC6" s="56">
        <v>1</v>
      </c>
      <c r="AD6" s="56">
        <v>1</v>
      </c>
      <c r="AE6" s="56">
        <v>1</v>
      </c>
      <c r="AF6" s="56">
        <v>1</v>
      </c>
      <c r="AG6" s="56">
        <v>1</v>
      </c>
      <c r="AH6" s="56">
        <v>1</v>
      </c>
      <c r="AI6" s="56">
        <v>1</v>
      </c>
      <c r="AJ6" s="56">
        <v>1</v>
      </c>
      <c r="AK6" s="56">
        <v>1</v>
      </c>
      <c r="AL6" s="56">
        <v>1</v>
      </c>
      <c r="AM6" s="56">
        <v>1</v>
      </c>
      <c r="AN6" s="56">
        <v>1</v>
      </c>
      <c r="AO6" s="56">
        <v>1</v>
      </c>
      <c r="AP6" s="56">
        <v>1</v>
      </c>
      <c r="AQ6" s="56">
        <v>1</v>
      </c>
      <c r="AR6" s="56">
        <v>1</v>
      </c>
      <c r="AS6" s="56">
        <v>1</v>
      </c>
      <c r="AT6" s="56">
        <v>1</v>
      </c>
      <c r="AU6" s="56">
        <v>1</v>
      </c>
      <c r="AV6" s="57">
        <v>1</v>
      </c>
      <c r="AW6" s="56"/>
      <c r="AX6" s="58"/>
      <c r="AY6" s="54"/>
      <c r="AZ6" s="55"/>
      <c r="BA6" s="54"/>
    </row>
    <row r="7" spans="1:53" ht="14.5" x14ac:dyDescent="0.35">
      <c r="A7" s="29" t="s">
        <v>51</v>
      </c>
      <c r="B7" s="32"/>
      <c r="C7" s="33">
        <v>8</v>
      </c>
      <c r="D7" s="33">
        <v>8</v>
      </c>
      <c r="E7" s="33">
        <v>8</v>
      </c>
      <c r="F7" s="33">
        <v>7</v>
      </c>
      <c r="G7" s="33">
        <v>8</v>
      </c>
      <c r="H7" s="33">
        <v>8</v>
      </c>
      <c r="I7" s="33">
        <v>8</v>
      </c>
      <c r="J7" s="33">
        <v>7</v>
      </c>
      <c r="K7" s="33">
        <v>8</v>
      </c>
      <c r="L7" s="33">
        <v>8</v>
      </c>
      <c r="M7" s="33">
        <v>4</v>
      </c>
      <c r="N7" s="33">
        <v>6</v>
      </c>
      <c r="O7" s="33">
        <v>8</v>
      </c>
      <c r="P7" s="33">
        <v>7</v>
      </c>
      <c r="Q7" s="33">
        <v>7</v>
      </c>
      <c r="R7" s="33">
        <v>8</v>
      </c>
      <c r="S7" s="33">
        <v>4</v>
      </c>
      <c r="T7" s="33">
        <v>6</v>
      </c>
      <c r="U7" s="33">
        <v>6</v>
      </c>
      <c r="V7" s="33">
        <v>4</v>
      </c>
      <c r="W7" s="33">
        <v>4</v>
      </c>
      <c r="X7" s="33">
        <v>7</v>
      </c>
      <c r="Y7" s="33">
        <v>8</v>
      </c>
      <c r="Z7" s="33">
        <v>8</v>
      </c>
      <c r="AA7" s="33">
        <v>6</v>
      </c>
      <c r="AB7" s="33">
        <v>8</v>
      </c>
      <c r="AC7" s="33">
        <v>4</v>
      </c>
      <c r="AD7" s="33">
        <v>8</v>
      </c>
      <c r="AE7" s="33">
        <v>4</v>
      </c>
      <c r="AF7" s="33">
        <v>1</v>
      </c>
      <c r="AG7" s="33">
        <v>1</v>
      </c>
      <c r="AH7" s="33">
        <v>1</v>
      </c>
      <c r="AI7" s="33">
        <v>1</v>
      </c>
      <c r="AJ7" s="33">
        <v>4</v>
      </c>
      <c r="AK7" s="33">
        <v>4</v>
      </c>
      <c r="AL7" s="33">
        <v>4</v>
      </c>
      <c r="AM7" s="33">
        <v>3</v>
      </c>
      <c r="AN7" s="33">
        <v>7</v>
      </c>
      <c r="AO7" s="33">
        <v>7</v>
      </c>
      <c r="AP7" s="33">
        <v>2</v>
      </c>
      <c r="AQ7" s="33">
        <v>5</v>
      </c>
      <c r="AR7" s="33">
        <v>6</v>
      </c>
      <c r="AS7" s="33">
        <v>1</v>
      </c>
      <c r="AT7" s="33">
        <v>3</v>
      </c>
      <c r="AU7" s="33">
        <v>6</v>
      </c>
      <c r="AV7" s="42">
        <v>3</v>
      </c>
      <c r="AW7" s="33">
        <v>9</v>
      </c>
      <c r="AX7" s="20">
        <v>8</v>
      </c>
      <c r="AY7" s="20">
        <v>9</v>
      </c>
      <c r="AZ7" s="45">
        <v>7</v>
      </c>
      <c r="BA7" s="20">
        <v>6</v>
      </c>
    </row>
    <row r="8" spans="1:53" ht="14.5" x14ac:dyDescent="0.35">
      <c r="A8" s="29" t="s">
        <v>52</v>
      </c>
      <c r="B8" s="32"/>
      <c r="C8" s="33">
        <v>6</v>
      </c>
      <c r="D8" s="33">
        <v>7</v>
      </c>
      <c r="E8" s="33">
        <v>7</v>
      </c>
      <c r="F8" s="33">
        <v>7</v>
      </c>
      <c r="G8" s="33">
        <v>7</v>
      </c>
      <c r="H8" s="33">
        <v>7</v>
      </c>
      <c r="I8" s="33">
        <v>7</v>
      </c>
      <c r="J8" s="33">
        <v>6</v>
      </c>
      <c r="K8" s="33">
        <v>2</v>
      </c>
      <c r="L8" s="33">
        <v>4</v>
      </c>
      <c r="M8" s="33">
        <v>2</v>
      </c>
      <c r="N8" s="33">
        <v>2</v>
      </c>
      <c r="O8" s="33">
        <v>4</v>
      </c>
      <c r="P8" s="33">
        <v>4</v>
      </c>
      <c r="Q8" s="33">
        <v>4</v>
      </c>
      <c r="R8" s="33">
        <v>2</v>
      </c>
      <c r="S8" s="33">
        <v>4</v>
      </c>
      <c r="T8" s="33">
        <v>3</v>
      </c>
      <c r="U8" s="33">
        <v>2</v>
      </c>
      <c r="V8" s="33">
        <v>2</v>
      </c>
      <c r="W8" s="33">
        <v>2</v>
      </c>
      <c r="X8" s="33">
        <v>4</v>
      </c>
      <c r="Y8" s="33">
        <v>4</v>
      </c>
      <c r="Z8" s="33">
        <v>1</v>
      </c>
      <c r="AA8" s="33">
        <v>3</v>
      </c>
      <c r="AB8" s="33">
        <v>2</v>
      </c>
      <c r="AC8" s="33">
        <v>1</v>
      </c>
      <c r="AD8" s="33">
        <v>3</v>
      </c>
      <c r="AE8" s="33">
        <v>5</v>
      </c>
      <c r="AF8" s="33">
        <v>1</v>
      </c>
      <c r="AG8" s="33">
        <v>1</v>
      </c>
      <c r="AH8" s="33">
        <v>1</v>
      </c>
      <c r="AI8" s="33">
        <v>1</v>
      </c>
      <c r="AJ8" s="33">
        <v>1</v>
      </c>
      <c r="AK8" s="33">
        <v>1</v>
      </c>
      <c r="AL8" s="33">
        <v>1</v>
      </c>
      <c r="AM8" s="33">
        <v>1</v>
      </c>
      <c r="AN8" s="33">
        <v>5</v>
      </c>
      <c r="AO8" s="33">
        <v>5</v>
      </c>
      <c r="AP8" s="33">
        <v>2</v>
      </c>
      <c r="AQ8" s="33">
        <v>4</v>
      </c>
      <c r="AR8" s="33">
        <v>6</v>
      </c>
      <c r="AS8" s="33">
        <v>1</v>
      </c>
      <c r="AT8" s="33">
        <v>1</v>
      </c>
      <c r="AU8" s="33">
        <v>5</v>
      </c>
      <c r="AV8" s="42">
        <v>1</v>
      </c>
      <c r="AW8" s="33">
        <v>4</v>
      </c>
      <c r="AX8" s="20">
        <v>6</v>
      </c>
      <c r="AY8" s="20">
        <v>7</v>
      </c>
      <c r="AZ8" s="45">
        <v>3</v>
      </c>
      <c r="BA8" s="20">
        <v>4</v>
      </c>
    </row>
    <row r="9" spans="1:53" ht="14.5" x14ac:dyDescent="0.35">
      <c r="A9" s="29" t="s">
        <v>53</v>
      </c>
      <c r="B9" s="32"/>
      <c r="C9" s="33">
        <v>4</v>
      </c>
      <c r="D9" s="33">
        <v>5</v>
      </c>
      <c r="E9" s="33">
        <v>7</v>
      </c>
      <c r="F9" s="33">
        <v>7</v>
      </c>
      <c r="G9" s="33">
        <v>7</v>
      </c>
      <c r="H9" s="34">
        <v>7</v>
      </c>
      <c r="I9" s="34">
        <v>7</v>
      </c>
      <c r="J9" s="34">
        <v>5</v>
      </c>
      <c r="K9" s="34">
        <v>3</v>
      </c>
      <c r="L9" s="34">
        <v>4</v>
      </c>
      <c r="M9" s="34">
        <v>5</v>
      </c>
      <c r="N9" s="34">
        <v>4</v>
      </c>
      <c r="O9" s="34">
        <v>5</v>
      </c>
      <c r="P9" s="34">
        <v>3</v>
      </c>
      <c r="Q9" s="34">
        <v>2</v>
      </c>
      <c r="R9" s="34">
        <v>2</v>
      </c>
      <c r="S9" s="34">
        <v>3</v>
      </c>
      <c r="T9" s="34">
        <v>3</v>
      </c>
      <c r="U9" s="34">
        <v>2</v>
      </c>
      <c r="V9" s="34">
        <v>4</v>
      </c>
      <c r="W9" s="34">
        <v>1</v>
      </c>
      <c r="X9" s="34">
        <v>1</v>
      </c>
      <c r="Y9" s="34">
        <v>1</v>
      </c>
      <c r="Z9" s="34">
        <v>3</v>
      </c>
      <c r="AA9" s="34">
        <v>3</v>
      </c>
      <c r="AB9" s="34">
        <v>5</v>
      </c>
      <c r="AC9" s="34">
        <v>2</v>
      </c>
      <c r="AD9" s="34">
        <v>2</v>
      </c>
      <c r="AE9" s="34">
        <v>1</v>
      </c>
      <c r="AF9" s="34">
        <v>1</v>
      </c>
      <c r="AG9" s="34">
        <v>1</v>
      </c>
      <c r="AH9" s="34">
        <v>1</v>
      </c>
      <c r="AI9" s="34">
        <v>1</v>
      </c>
      <c r="AJ9" s="34">
        <v>5</v>
      </c>
      <c r="AK9" s="34">
        <v>4</v>
      </c>
      <c r="AL9" s="34">
        <v>2</v>
      </c>
      <c r="AM9" s="34">
        <v>1</v>
      </c>
      <c r="AN9" s="34">
        <v>2</v>
      </c>
      <c r="AO9" s="34">
        <v>1</v>
      </c>
      <c r="AP9" s="34">
        <v>3</v>
      </c>
      <c r="AQ9" s="34">
        <v>4</v>
      </c>
      <c r="AR9" s="34">
        <v>7</v>
      </c>
      <c r="AS9" s="34">
        <v>4</v>
      </c>
      <c r="AT9" s="34">
        <v>1</v>
      </c>
      <c r="AU9" s="34">
        <v>5</v>
      </c>
      <c r="AV9" s="43">
        <v>1</v>
      </c>
      <c r="AW9" s="34">
        <v>4</v>
      </c>
      <c r="AX9" s="20">
        <v>5</v>
      </c>
      <c r="AY9" s="20">
        <v>6</v>
      </c>
      <c r="AZ9" s="45">
        <v>1</v>
      </c>
      <c r="BA9" s="20">
        <v>2</v>
      </c>
    </row>
    <row r="10" spans="1:53" ht="14.5" x14ac:dyDescent="0.35">
      <c r="A10" s="29" t="s">
        <v>54</v>
      </c>
      <c r="B10" s="32"/>
      <c r="C10" s="33">
        <v>7</v>
      </c>
      <c r="D10" s="33">
        <v>8</v>
      </c>
      <c r="E10" s="33">
        <v>8</v>
      </c>
      <c r="F10" s="33">
        <v>8</v>
      </c>
      <c r="G10" s="33">
        <v>8</v>
      </c>
      <c r="H10" s="33">
        <v>8</v>
      </c>
      <c r="I10" s="33">
        <v>8</v>
      </c>
      <c r="J10" s="33">
        <v>8</v>
      </c>
      <c r="K10" s="33">
        <v>8</v>
      </c>
      <c r="L10" s="33">
        <v>8</v>
      </c>
      <c r="M10" s="33">
        <v>8</v>
      </c>
      <c r="N10" s="33">
        <v>8</v>
      </c>
      <c r="O10" s="33">
        <v>6</v>
      </c>
      <c r="P10" s="33">
        <v>7</v>
      </c>
      <c r="Q10" s="33">
        <v>7</v>
      </c>
      <c r="R10" s="33">
        <v>7</v>
      </c>
      <c r="S10" s="33">
        <v>8</v>
      </c>
      <c r="T10" s="33">
        <v>7</v>
      </c>
      <c r="U10" s="33">
        <v>3</v>
      </c>
      <c r="V10" s="33">
        <v>5</v>
      </c>
      <c r="W10" s="33">
        <v>5</v>
      </c>
      <c r="X10" s="33">
        <v>5</v>
      </c>
      <c r="Y10" s="33">
        <v>4</v>
      </c>
      <c r="Z10" s="33">
        <v>5</v>
      </c>
      <c r="AA10" s="33">
        <v>4</v>
      </c>
      <c r="AB10" s="33">
        <v>7</v>
      </c>
      <c r="AC10" s="33">
        <v>6</v>
      </c>
      <c r="AD10" s="33">
        <v>6</v>
      </c>
      <c r="AE10" s="34">
        <v>4</v>
      </c>
      <c r="AF10" s="34">
        <v>5</v>
      </c>
      <c r="AG10" s="34">
        <v>1</v>
      </c>
      <c r="AH10" s="34">
        <v>1</v>
      </c>
      <c r="AI10" s="34">
        <v>1</v>
      </c>
      <c r="AJ10" s="34">
        <v>5</v>
      </c>
      <c r="AK10" s="34">
        <v>5</v>
      </c>
      <c r="AL10" s="34">
        <v>1</v>
      </c>
      <c r="AM10" s="34">
        <v>5</v>
      </c>
      <c r="AN10" s="34">
        <v>6</v>
      </c>
      <c r="AO10" s="34">
        <v>5</v>
      </c>
      <c r="AP10" s="34">
        <v>5</v>
      </c>
      <c r="AQ10" s="34">
        <v>6</v>
      </c>
      <c r="AR10" s="34">
        <v>7</v>
      </c>
      <c r="AS10" s="34">
        <v>3</v>
      </c>
      <c r="AT10" s="34">
        <v>5</v>
      </c>
      <c r="AU10" s="34">
        <v>5</v>
      </c>
      <c r="AV10" s="43">
        <v>5</v>
      </c>
      <c r="AW10" s="34">
        <v>8</v>
      </c>
      <c r="AX10" s="20">
        <v>7</v>
      </c>
      <c r="AY10" s="20">
        <v>9</v>
      </c>
      <c r="AZ10" s="45">
        <v>3</v>
      </c>
      <c r="BA10" s="20">
        <v>5</v>
      </c>
    </row>
    <row r="11" spans="1:53" ht="14.5" x14ac:dyDescent="0.35">
      <c r="A11" s="29" t="s">
        <v>55</v>
      </c>
      <c r="B11" s="32"/>
      <c r="C11" s="33">
        <v>8</v>
      </c>
      <c r="D11" s="33">
        <v>8</v>
      </c>
      <c r="E11" s="33">
        <v>8</v>
      </c>
      <c r="F11" s="33">
        <v>7</v>
      </c>
      <c r="G11" s="33">
        <v>8</v>
      </c>
      <c r="H11" s="33">
        <v>8</v>
      </c>
      <c r="I11" s="33">
        <v>8</v>
      </c>
      <c r="J11" s="33">
        <v>8</v>
      </c>
      <c r="K11" s="33">
        <v>7</v>
      </c>
      <c r="L11" s="33">
        <v>8</v>
      </c>
      <c r="M11" s="33">
        <v>8</v>
      </c>
      <c r="N11" s="33">
        <v>8</v>
      </c>
      <c r="O11" s="33">
        <v>8</v>
      </c>
      <c r="P11" s="33">
        <v>7</v>
      </c>
      <c r="Q11" s="33">
        <v>5</v>
      </c>
      <c r="R11" s="33">
        <v>5</v>
      </c>
      <c r="S11" s="33">
        <v>5</v>
      </c>
      <c r="T11" s="33">
        <v>5</v>
      </c>
      <c r="U11" s="33">
        <v>5</v>
      </c>
      <c r="V11" s="33">
        <v>5</v>
      </c>
      <c r="W11" s="33">
        <v>4</v>
      </c>
      <c r="X11" s="33">
        <v>3</v>
      </c>
      <c r="Y11" s="33">
        <v>3</v>
      </c>
      <c r="Z11" s="33">
        <v>3</v>
      </c>
      <c r="AA11" s="33">
        <v>7</v>
      </c>
      <c r="AB11" s="33">
        <v>6</v>
      </c>
      <c r="AC11" s="33">
        <v>6</v>
      </c>
      <c r="AD11" s="33">
        <v>6</v>
      </c>
      <c r="AE11" s="33">
        <v>1</v>
      </c>
      <c r="AF11" s="33">
        <v>7</v>
      </c>
      <c r="AG11" s="33">
        <v>7</v>
      </c>
      <c r="AH11" s="33">
        <v>7</v>
      </c>
      <c r="AI11" s="33">
        <v>7</v>
      </c>
      <c r="AJ11" s="33">
        <v>7</v>
      </c>
      <c r="AK11" s="33">
        <v>7</v>
      </c>
      <c r="AL11" s="33">
        <v>7</v>
      </c>
      <c r="AM11" s="33">
        <v>4</v>
      </c>
      <c r="AN11" s="33">
        <v>5</v>
      </c>
      <c r="AO11" s="33">
        <v>5</v>
      </c>
      <c r="AP11" s="33">
        <v>4</v>
      </c>
      <c r="AQ11" s="33">
        <v>8</v>
      </c>
      <c r="AR11" s="33">
        <v>8</v>
      </c>
      <c r="AS11" s="33">
        <v>5</v>
      </c>
      <c r="AT11" s="33">
        <v>5</v>
      </c>
      <c r="AU11" s="33">
        <v>5</v>
      </c>
      <c r="AV11" s="42">
        <v>5</v>
      </c>
      <c r="AW11" s="34">
        <v>5</v>
      </c>
      <c r="AX11" s="20">
        <v>6</v>
      </c>
      <c r="AY11" s="20">
        <v>5</v>
      </c>
      <c r="AZ11" s="45">
        <v>3</v>
      </c>
      <c r="BA11" s="20">
        <v>2</v>
      </c>
    </row>
    <row r="12" spans="1:53" ht="14.5" x14ac:dyDescent="0.35">
      <c r="A12" s="29" t="s">
        <v>56</v>
      </c>
      <c r="B12" s="32"/>
      <c r="C12" s="33">
        <v>7</v>
      </c>
      <c r="D12" s="33">
        <v>8</v>
      </c>
      <c r="E12" s="33">
        <v>8</v>
      </c>
      <c r="F12" s="33">
        <v>7</v>
      </c>
      <c r="G12" s="33">
        <v>8</v>
      </c>
      <c r="H12" s="33">
        <v>8</v>
      </c>
      <c r="I12" s="33">
        <v>9</v>
      </c>
      <c r="J12" s="33">
        <v>9</v>
      </c>
      <c r="K12" s="33">
        <v>7</v>
      </c>
      <c r="L12" s="33">
        <v>7</v>
      </c>
      <c r="M12" s="33">
        <v>6</v>
      </c>
      <c r="N12" s="33">
        <v>7</v>
      </c>
      <c r="O12" s="33">
        <v>7</v>
      </c>
      <c r="P12" s="33">
        <v>7</v>
      </c>
      <c r="Q12" s="33">
        <v>7</v>
      </c>
      <c r="R12" s="33">
        <v>4</v>
      </c>
      <c r="S12" s="33">
        <v>9</v>
      </c>
      <c r="T12" s="33">
        <v>6</v>
      </c>
      <c r="U12" s="33">
        <v>2</v>
      </c>
      <c r="V12" s="33">
        <v>2</v>
      </c>
      <c r="W12" s="33">
        <v>2</v>
      </c>
      <c r="X12" s="33">
        <v>6</v>
      </c>
      <c r="Y12" s="33">
        <v>5</v>
      </c>
      <c r="Z12" s="33">
        <v>1</v>
      </c>
      <c r="AA12" s="33">
        <v>4</v>
      </c>
      <c r="AB12" s="33">
        <v>8</v>
      </c>
      <c r="AC12" s="33">
        <v>1</v>
      </c>
      <c r="AD12" s="33">
        <v>1</v>
      </c>
      <c r="AE12" s="33">
        <v>7</v>
      </c>
      <c r="AF12" s="33">
        <v>1</v>
      </c>
      <c r="AG12" s="33">
        <v>1</v>
      </c>
      <c r="AH12" s="33">
        <v>1</v>
      </c>
      <c r="AI12" s="33">
        <v>1</v>
      </c>
      <c r="AJ12" s="33">
        <v>7</v>
      </c>
      <c r="AK12" s="33">
        <v>1</v>
      </c>
      <c r="AL12" s="33">
        <v>1</v>
      </c>
      <c r="AM12" s="33">
        <v>4</v>
      </c>
      <c r="AN12" s="33">
        <v>7</v>
      </c>
      <c r="AO12" s="33">
        <v>6</v>
      </c>
      <c r="AP12" s="33">
        <v>5</v>
      </c>
      <c r="AQ12" s="33">
        <v>7</v>
      </c>
      <c r="AR12" s="33">
        <v>8</v>
      </c>
      <c r="AS12" s="33">
        <v>4</v>
      </c>
      <c r="AT12" s="33">
        <v>1</v>
      </c>
      <c r="AU12" s="33">
        <v>7</v>
      </c>
      <c r="AV12" s="42">
        <v>1</v>
      </c>
      <c r="AW12" s="33">
        <v>8</v>
      </c>
      <c r="AX12" s="20">
        <v>7</v>
      </c>
      <c r="AY12" s="20">
        <v>9</v>
      </c>
      <c r="AZ12" s="45">
        <v>5</v>
      </c>
      <c r="BA12" s="20">
        <v>7</v>
      </c>
    </row>
    <row r="13" spans="1:53" ht="14.5" x14ac:dyDescent="0.35">
      <c r="A13" s="29" t="s">
        <v>57</v>
      </c>
      <c r="B13" s="32"/>
      <c r="C13" s="33">
        <v>6</v>
      </c>
      <c r="D13" s="33">
        <v>8</v>
      </c>
      <c r="E13" s="33">
        <v>8</v>
      </c>
      <c r="F13" s="33">
        <v>8</v>
      </c>
      <c r="G13" s="33">
        <v>8</v>
      </c>
      <c r="H13" s="33">
        <v>8</v>
      </c>
      <c r="I13" s="33">
        <v>8</v>
      </c>
      <c r="J13" s="33">
        <v>4</v>
      </c>
      <c r="K13" s="33">
        <v>8</v>
      </c>
      <c r="L13" s="33">
        <v>8</v>
      </c>
      <c r="M13" s="33">
        <v>6</v>
      </c>
      <c r="N13" s="33">
        <v>8</v>
      </c>
      <c r="O13" s="33">
        <v>8</v>
      </c>
      <c r="P13" s="33">
        <v>7</v>
      </c>
      <c r="Q13" s="33">
        <v>8</v>
      </c>
      <c r="R13" s="33">
        <v>4</v>
      </c>
      <c r="S13" s="33">
        <v>6</v>
      </c>
      <c r="T13" s="33">
        <v>6</v>
      </c>
      <c r="U13" s="33">
        <v>2</v>
      </c>
      <c r="V13" s="33">
        <v>2</v>
      </c>
      <c r="W13" s="33">
        <v>2</v>
      </c>
      <c r="X13" s="33">
        <v>4</v>
      </c>
      <c r="Y13" s="33">
        <v>6</v>
      </c>
      <c r="Z13" s="33">
        <v>8</v>
      </c>
      <c r="AA13" s="33">
        <v>8</v>
      </c>
      <c r="AB13" s="33">
        <v>6</v>
      </c>
      <c r="AC13" s="33">
        <v>4</v>
      </c>
      <c r="AD13" s="33">
        <v>7</v>
      </c>
      <c r="AE13" s="33">
        <v>6</v>
      </c>
      <c r="AF13" s="33">
        <v>1</v>
      </c>
      <c r="AG13" s="33">
        <v>1</v>
      </c>
      <c r="AH13" s="33">
        <v>1</v>
      </c>
      <c r="AI13" s="33">
        <v>1</v>
      </c>
      <c r="AJ13" s="33">
        <v>4</v>
      </c>
      <c r="AK13" s="33">
        <v>4</v>
      </c>
      <c r="AL13" s="33">
        <v>4</v>
      </c>
      <c r="AM13" s="33">
        <v>4</v>
      </c>
      <c r="AN13" s="33">
        <v>8</v>
      </c>
      <c r="AO13" s="33">
        <v>6</v>
      </c>
      <c r="AP13" s="33">
        <v>4</v>
      </c>
      <c r="AQ13" s="33">
        <v>8</v>
      </c>
      <c r="AR13" s="33">
        <v>8</v>
      </c>
      <c r="AS13" s="33">
        <v>2</v>
      </c>
      <c r="AT13" s="33">
        <v>2</v>
      </c>
      <c r="AU13" s="33">
        <v>6</v>
      </c>
      <c r="AV13" s="42">
        <v>2</v>
      </c>
      <c r="AW13" s="33">
        <v>5</v>
      </c>
      <c r="AX13" s="20">
        <v>7</v>
      </c>
      <c r="AY13" s="20">
        <v>5</v>
      </c>
      <c r="AZ13" s="45">
        <v>4</v>
      </c>
      <c r="BA13" s="20">
        <v>5</v>
      </c>
    </row>
    <row r="14" spans="1:53" ht="14.5" x14ac:dyDescent="0.35">
      <c r="A14" s="29" t="s">
        <v>58</v>
      </c>
      <c r="B14" s="32"/>
      <c r="C14" s="33">
        <v>6</v>
      </c>
      <c r="D14" s="33">
        <v>7</v>
      </c>
      <c r="E14" s="33">
        <v>8</v>
      </c>
      <c r="F14" s="33">
        <v>8</v>
      </c>
      <c r="G14" s="33">
        <v>8</v>
      </c>
      <c r="H14" s="33">
        <v>8</v>
      </c>
      <c r="I14" s="33">
        <v>8</v>
      </c>
      <c r="J14" s="33">
        <v>1</v>
      </c>
      <c r="K14" s="33">
        <v>4</v>
      </c>
      <c r="L14" s="33">
        <v>5</v>
      </c>
      <c r="M14" s="33">
        <v>1</v>
      </c>
      <c r="N14" s="33">
        <v>5</v>
      </c>
      <c r="O14" s="33">
        <v>7</v>
      </c>
      <c r="P14" s="33">
        <v>3</v>
      </c>
      <c r="Q14" s="33">
        <v>1</v>
      </c>
      <c r="R14" s="33">
        <v>4</v>
      </c>
      <c r="S14" s="33">
        <v>6</v>
      </c>
      <c r="T14" s="33">
        <v>4</v>
      </c>
      <c r="U14" s="33">
        <v>1</v>
      </c>
      <c r="V14" s="33">
        <v>1</v>
      </c>
      <c r="W14" s="33">
        <v>1</v>
      </c>
      <c r="X14" s="33">
        <v>1</v>
      </c>
      <c r="Y14" s="33">
        <v>7</v>
      </c>
      <c r="Z14" s="33">
        <v>7</v>
      </c>
      <c r="AA14" s="33">
        <v>4</v>
      </c>
      <c r="AB14" s="33">
        <v>7</v>
      </c>
      <c r="AC14" s="33">
        <v>1</v>
      </c>
      <c r="AD14" s="33">
        <v>4</v>
      </c>
      <c r="AE14" s="33">
        <v>7</v>
      </c>
      <c r="AF14" s="33">
        <v>1</v>
      </c>
      <c r="AG14" s="33">
        <v>1</v>
      </c>
      <c r="AH14" s="33">
        <v>1</v>
      </c>
      <c r="AI14" s="33">
        <v>1</v>
      </c>
      <c r="AJ14" s="33">
        <v>4</v>
      </c>
      <c r="AK14" s="33">
        <v>4</v>
      </c>
      <c r="AL14" s="33">
        <v>1</v>
      </c>
      <c r="AM14" s="33">
        <v>2</v>
      </c>
      <c r="AN14" s="33">
        <v>4</v>
      </c>
      <c r="AO14" s="33">
        <v>6</v>
      </c>
      <c r="AP14" s="33">
        <v>6</v>
      </c>
      <c r="AQ14" s="33">
        <v>6</v>
      </c>
      <c r="AR14" s="33">
        <v>6</v>
      </c>
      <c r="AS14" s="33">
        <v>1</v>
      </c>
      <c r="AT14" s="33">
        <v>1</v>
      </c>
      <c r="AU14" s="33">
        <v>6</v>
      </c>
      <c r="AV14" s="42">
        <v>1</v>
      </c>
      <c r="AW14" s="33">
        <v>8</v>
      </c>
      <c r="AX14" s="20">
        <v>7</v>
      </c>
      <c r="AY14" s="20">
        <v>8</v>
      </c>
      <c r="AZ14" s="45">
        <v>7</v>
      </c>
      <c r="BA14" s="20">
        <v>7</v>
      </c>
    </row>
    <row r="15" spans="1:53" ht="14.5" x14ac:dyDescent="0.35">
      <c r="A15" s="29" t="s">
        <v>59</v>
      </c>
      <c r="B15" s="32"/>
      <c r="C15" s="33">
        <v>6</v>
      </c>
      <c r="D15" s="33">
        <v>6</v>
      </c>
      <c r="E15" s="33">
        <v>8</v>
      </c>
      <c r="F15" s="33">
        <v>8</v>
      </c>
      <c r="G15" s="33">
        <v>8</v>
      </c>
      <c r="H15" s="33">
        <v>8</v>
      </c>
      <c r="I15" s="33">
        <v>8</v>
      </c>
      <c r="J15" s="33">
        <v>3</v>
      </c>
      <c r="K15" s="33">
        <v>7</v>
      </c>
      <c r="L15" s="33">
        <v>8</v>
      </c>
      <c r="M15" s="33">
        <v>7</v>
      </c>
      <c r="N15" s="33">
        <v>8</v>
      </c>
      <c r="O15" s="33">
        <v>8</v>
      </c>
      <c r="P15" s="33">
        <v>8</v>
      </c>
      <c r="Q15" s="33">
        <v>5</v>
      </c>
      <c r="R15" s="33">
        <v>4</v>
      </c>
      <c r="S15" s="33">
        <v>6</v>
      </c>
      <c r="T15" s="33">
        <v>6</v>
      </c>
      <c r="U15" s="33">
        <v>4</v>
      </c>
      <c r="V15" s="33">
        <v>6</v>
      </c>
      <c r="W15" s="33">
        <v>4</v>
      </c>
      <c r="X15" s="33">
        <v>4</v>
      </c>
      <c r="Y15" s="33">
        <v>7</v>
      </c>
      <c r="Z15" s="33">
        <v>8</v>
      </c>
      <c r="AA15" s="33">
        <v>8</v>
      </c>
      <c r="AB15" s="33">
        <v>4</v>
      </c>
      <c r="AC15" s="33">
        <v>2</v>
      </c>
      <c r="AD15" s="33">
        <v>2</v>
      </c>
      <c r="AE15" s="33">
        <v>7</v>
      </c>
      <c r="AF15" s="33">
        <v>1</v>
      </c>
      <c r="AG15" s="33">
        <v>1</v>
      </c>
      <c r="AH15" s="33">
        <v>1</v>
      </c>
      <c r="AI15" s="33">
        <v>1</v>
      </c>
      <c r="AJ15" s="33">
        <v>3</v>
      </c>
      <c r="AK15" s="33">
        <v>3</v>
      </c>
      <c r="AL15" s="33">
        <v>1</v>
      </c>
      <c r="AM15" s="33">
        <v>2</v>
      </c>
      <c r="AN15" s="33">
        <v>5</v>
      </c>
      <c r="AO15" s="33">
        <v>2</v>
      </c>
      <c r="AP15" s="33">
        <v>5</v>
      </c>
      <c r="AQ15" s="33">
        <v>8</v>
      </c>
      <c r="AR15" s="33">
        <v>7</v>
      </c>
      <c r="AS15" s="33">
        <v>2</v>
      </c>
      <c r="AT15" s="33">
        <v>1</v>
      </c>
      <c r="AU15" s="33">
        <v>7</v>
      </c>
      <c r="AV15" s="42">
        <v>1</v>
      </c>
      <c r="AW15" s="33">
        <v>3</v>
      </c>
      <c r="AX15" s="20">
        <v>5</v>
      </c>
      <c r="AY15" s="20">
        <v>4</v>
      </c>
      <c r="AZ15" s="45">
        <v>5</v>
      </c>
      <c r="BA15" s="20">
        <v>8</v>
      </c>
    </row>
    <row r="16" spans="1:53" ht="14.5" x14ac:dyDescent="0.35">
      <c r="A16" s="29" t="s">
        <v>60</v>
      </c>
      <c r="B16" s="35"/>
      <c r="C16" s="33">
        <v>6</v>
      </c>
      <c r="D16" s="33">
        <v>7</v>
      </c>
      <c r="E16" s="33">
        <v>8</v>
      </c>
      <c r="F16" s="33">
        <v>8</v>
      </c>
      <c r="G16" s="33">
        <v>8</v>
      </c>
      <c r="H16" s="33">
        <v>8</v>
      </c>
      <c r="I16" s="33">
        <v>8</v>
      </c>
      <c r="J16" s="33">
        <v>6</v>
      </c>
      <c r="K16" s="33">
        <v>8</v>
      </c>
      <c r="L16" s="33">
        <v>8</v>
      </c>
      <c r="M16" s="33">
        <v>8</v>
      </c>
      <c r="N16" s="33">
        <v>4</v>
      </c>
      <c r="O16" s="33">
        <v>6</v>
      </c>
      <c r="P16" s="33">
        <v>7</v>
      </c>
      <c r="Q16" s="33">
        <v>7</v>
      </c>
      <c r="R16" s="33">
        <v>5</v>
      </c>
      <c r="S16" s="33">
        <v>8</v>
      </c>
      <c r="T16" s="33">
        <v>9</v>
      </c>
      <c r="U16" s="33">
        <v>7</v>
      </c>
      <c r="V16" s="33">
        <v>4</v>
      </c>
      <c r="W16" s="33">
        <v>6</v>
      </c>
      <c r="X16" s="33">
        <v>4</v>
      </c>
      <c r="Y16" s="33">
        <v>6</v>
      </c>
      <c r="Z16" s="33">
        <v>6</v>
      </c>
      <c r="AA16" s="33">
        <v>6</v>
      </c>
      <c r="AB16" s="33">
        <v>6</v>
      </c>
      <c r="AC16" s="33">
        <v>4</v>
      </c>
      <c r="AD16" s="33">
        <v>6</v>
      </c>
      <c r="AE16" s="33">
        <v>6</v>
      </c>
      <c r="AF16" s="33">
        <v>4</v>
      </c>
      <c r="AG16" s="33">
        <v>4</v>
      </c>
      <c r="AH16" s="33">
        <v>4</v>
      </c>
      <c r="AI16" s="33">
        <v>4</v>
      </c>
      <c r="AJ16" s="33">
        <v>4</v>
      </c>
      <c r="AK16" s="33">
        <v>4</v>
      </c>
      <c r="AL16" s="33">
        <v>4</v>
      </c>
      <c r="AM16" s="33">
        <v>4</v>
      </c>
      <c r="AN16" s="33">
        <v>6</v>
      </c>
      <c r="AO16" s="33">
        <v>8</v>
      </c>
      <c r="AP16" s="33">
        <v>6</v>
      </c>
      <c r="AQ16" s="33">
        <v>8</v>
      </c>
      <c r="AR16" s="33">
        <v>8</v>
      </c>
      <c r="AS16" s="33">
        <v>4</v>
      </c>
      <c r="AT16" s="33">
        <v>6</v>
      </c>
      <c r="AU16" s="33">
        <v>6</v>
      </c>
      <c r="AV16" s="42">
        <v>4</v>
      </c>
      <c r="AW16" s="33">
        <v>5</v>
      </c>
      <c r="AX16" s="20">
        <v>5</v>
      </c>
      <c r="AY16" s="20">
        <v>6</v>
      </c>
      <c r="AZ16" s="45">
        <v>5</v>
      </c>
      <c r="BA16" s="20">
        <v>6</v>
      </c>
    </row>
    <row r="17" spans="1:53" ht="14.5" x14ac:dyDescent="0.35">
      <c r="A17" s="29" t="s">
        <v>61</v>
      </c>
      <c r="B17" s="32"/>
      <c r="C17" s="33">
        <v>5</v>
      </c>
      <c r="D17" s="33">
        <v>6</v>
      </c>
      <c r="E17" s="33">
        <v>7</v>
      </c>
      <c r="F17" s="33">
        <v>7</v>
      </c>
      <c r="G17" s="33">
        <v>8</v>
      </c>
      <c r="H17" s="33">
        <v>8</v>
      </c>
      <c r="I17" s="33">
        <v>9</v>
      </c>
      <c r="J17" s="33">
        <v>1</v>
      </c>
      <c r="K17" s="33">
        <v>3</v>
      </c>
      <c r="L17" s="33">
        <v>7</v>
      </c>
      <c r="M17" s="33">
        <v>7</v>
      </c>
      <c r="N17" s="33">
        <v>4</v>
      </c>
      <c r="O17" s="33">
        <v>7</v>
      </c>
      <c r="P17" s="33">
        <v>7</v>
      </c>
      <c r="Q17" s="33">
        <v>4</v>
      </c>
      <c r="R17" s="33">
        <v>5</v>
      </c>
      <c r="S17" s="33">
        <v>9</v>
      </c>
      <c r="T17" s="33">
        <v>7</v>
      </c>
      <c r="U17" s="33">
        <v>5</v>
      </c>
      <c r="V17" s="33">
        <v>5</v>
      </c>
      <c r="W17" s="33">
        <v>4</v>
      </c>
      <c r="X17" s="33">
        <v>1</v>
      </c>
      <c r="Y17" s="33">
        <v>6</v>
      </c>
      <c r="Z17" s="33">
        <v>6</v>
      </c>
      <c r="AA17" s="33">
        <v>6</v>
      </c>
      <c r="AB17" s="33">
        <v>4</v>
      </c>
      <c r="AC17" s="33">
        <v>3</v>
      </c>
      <c r="AD17" s="33">
        <v>3</v>
      </c>
      <c r="AE17" s="33">
        <v>8</v>
      </c>
      <c r="AF17" s="33">
        <v>1</v>
      </c>
      <c r="AG17" s="33">
        <v>2</v>
      </c>
      <c r="AH17" s="33">
        <v>1</v>
      </c>
      <c r="AI17" s="33">
        <v>3</v>
      </c>
      <c r="AJ17" s="33">
        <v>5</v>
      </c>
      <c r="AK17" s="33">
        <v>4</v>
      </c>
      <c r="AL17" s="33">
        <v>1</v>
      </c>
      <c r="AM17" s="33">
        <v>4</v>
      </c>
      <c r="AN17" s="33">
        <v>2</v>
      </c>
      <c r="AO17" s="33">
        <v>3</v>
      </c>
      <c r="AP17" s="33">
        <v>6</v>
      </c>
      <c r="AQ17" s="33">
        <v>8</v>
      </c>
      <c r="AR17" s="33">
        <v>8</v>
      </c>
      <c r="AS17" s="33">
        <v>1</v>
      </c>
      <c r="AT17" s="33">
        <v>1</v>
      </c>
      <c r="AU17" s="33">
        <v>7</v>
      </c>
      <c r="AV17" s="42">
        <v>1</v>
      </c>
      <c r="AW17" s="33">
        <v>1</v>
      </c>
      <c r="AX17" s="20">
        <v>4</v>
      </c>
      <c r="AY17" s="20">
        <v>3</v>
      </c>
      <c r="AZ17" s="45">
        <v>4</v>
      </c>
      <c r="BA17" s="20">
        <v>6</v>
      </c>
    </row>
    <row r="18" spans="1:53" ht="14.5" x14ac:dyDescent="0.35">
      <c r="A18" s="29" t="s">
        <v>62</v>
      </c>
      <c r="B18" s="32"/>
      <c r="C18" s="33">
        <v>6</v>
      </c>
      <c r="D18" s="33">
        <v>8</v>
      </c>
      <c r="E18" s="33">
        <v>8</v>
      </c>
      <c r="F18" s="33">
        <v>8</v>
      </c>
      <c r="G18" s="33">
        <v>8</v>
      </c>
      <c r="H18" s="33">
        <v>7</v>
      </c>
      <c r="I18" s="33">
        <v>9</v>
      </c>
      <c r="J18" s="33">
        <v>1</v>
      </c>
      <c r="K18" s="33">
        <v>5</v>
      </c>
      <c r="L18" s="33">
        <v>8</v>
      </c>
      <c r="M18" s="33">
        <v>8</v>
      </c>
      <c r="N18" s="33">
        <v>4</v>
      </c>
      <c r="O18" s="33">
        <v>7</v>
      </c>
      <c r="P18" s="33">
        <v>4</v>
      </c>
      <c r="Q18" s="33">
        <v>4</v>
      </c>
      <c r="R18" s="33">
        <v>4</v>
      </c>
      <c r="S18" s="33">
        <v>5</v>
      </c>
      <c r="T18" s="33">
        <v>5</v>
      </c>
      <c r="U18" s="33">
        <v>8</v>
      </c>
      <c r="V18" s="33">
        <v>5</v>
      </c>
      <c r="W18" s="33">
        <v>9</v>
      </c>
      <c r="X18" s="33">
        <v>6</v>
      </c>
      <c r="Y18" s="33">
        <v>7</v>
      </c>
      <c r="Z18" s="33">
        <v>1</v>
      </c>
      <c r="AA18" s="33">
        <v>5</v>
      </c>
      <c r="AB18" s="33">
        <v>8</v>
      </c>
      <c r="AC18" s="33">
        <v>5</v>
      </c>
      <c r="AD18" s="33">
        <v>7</v>
      </c>
      <c r="AE18" s="33">
        <v>6</v>
      </c>
      <c r="AF18" s="33">
        <v>1</v>
      </c>
      <c r="AG18" s="33">
        <v>1</v>
      </c>
      <c r="AH18" s="33">
        <v>1</v>
      </c>
      <c r="AI18" s="33">
        <v>1</v>
      </c>
      <c r="AJ18" s="33">
        <v>6</v>
      </c>
      <c r="AK18" s="33">
        <v>6</v>
      </c>
      <c r="AL18" s="33">
        <v>6</v>
      </c>
      <c r="AM18" s="33">
        <v>6</v>
      </c>
      <c r="AN18" s="33">
        <v>7</v>
      </c>
      <c r="AO18" s="33">
        <v>4</v>
      </c>
      <c r="AP18" s="33">
        <v>7</v>
      </c>
      <c r="AQ18" s="33">
        <v>8</v>
      </c>
      <c r="AR18" s="33">
        <v>8</v>
      </c>
      <c r="AS18" s="33">
        <v>4</v>
      </c>
      <c r="AT18" s="33">
        <v>3</v>
      </c>
      <c r="AU18" s="33">
        <v>7</v>
      </c>
      <c r="AV18" s="42">
        <v>2</v>
      </c>
      <c r="AW18" s="33">
        <v>8</v>
      </c>
      <c r="AX18" s="20">
        <v>8</v>
      </c>
      <c r="AY18" s="20">
        <v>7</v>
      </c>
      <c r="AZ18" s="45">
        <v>7</v>
      </c>
      <c r="BA18" s="20">
        <v>8</v>
      </c>
    </row>
    <row r="19" spans="1:53" ht="14.5" x14ac:dyDescent="0.35">
      <c r="A19" s="29" t="s">
        <v>63</v>
      </c>
      <c r="B19" s="32"/>
      <c r="C19" s="33">
        <v>7</v>
      </c>
      <c r="D19" s="33">
        <v>9</v>
      </c>
      <c r="E19" s="33">
        <v>8</v>
      </c>
      <c r="F19" s="33">
        <v>8</v>
      </c>
      <c r="G19" s="33">
        <v>8</v>
      </c>
      <c r="H19" s="33">
        <v>7</v>
      </c>
      <c r="I19" s="33">
        <v>7</v>
      </c>
      <c r="J19" s="33">
        <v>6</v>
      </c>
      <c r="K19" s="33">
        <v>6</v>
      </c>
      <c r="L19" s="33">
        <v>6</v>
      </c>
      <c r="M19" s="33">
        <v>5</v>
      </c>
      <c r="N19" s="33">
        <v>6</v>
      </c>
      <c r="O19" s="33">
        <v>5</v>
      </c>
      <c r="P19" s="33">
        <v>7</v>
      </c>
      <c r="Q19" s="33">
        <v>6</v>
      </c>
      <c r="R19" s="33">
        <v>6</v>
      </c>
      <c r="S19" s="33">
        <v>6</v>
      </c>
      <c r="T19" s="33">
        <v>6</v>
      </c>
      <c r="U19" s="33">
        <v>8</v>
      </c>
      <c r="V19" s="33">
        <v>8</v>
      </c>
      <c r="W19" s="33">
        <v>7</v>
      </c>
      <c r="X19" s="33">
        <v>7</v>
      </c>
      <c r="Y19" s="33">
        <v>7</v>
      </c>
      <c r="Z19" s="33">
        <v>7</v>
      </c>
      <c r="AA19" s="33">
        <v>6</v>
      </c>
      <c r="AB19" s="33">
        <v>7</v>
      </c>
      <c r="AC19" s="33">
        <v>7</v>
      </c>
      <c r="AD19" s="33">
        <v>7</v>
      </c>
      <c r="AE19" s="33">
        <v>6</v>
      </c>
      <c r="AF19" s="33">
        <v>6</v>
      </c>
      <c r="AG19" s="33">
        <v>6</v>
      </c>
      <c r="AH19" s="33">
        <v>6</v>
      </c>
      <c r="AI19" s="33">
        <v>5</v>
      </c>
      <c r="AJ19" s="33">
        <v>5</v>
      </c>
      <c r="AK19" s="33">
        <v>5</v>
      </c>
      <c r="AL19" s="33">
        <v>5</v>
      </c>
      <c r="AM19" s="33">
        <v>5</v>
      </c>
      <c r="AN19" s="33">
        <v>7</v>
      </c>
      <c r="AO19" s="33">
        <v>7</v>
      </c>
      <c r="AP19" s="33">
        <v>7</v>
      </c>
      <c r="AQ19" s="33">
        <v>7</v>
      </c>
      <c r="AR19" s="33">
        <v>7</v>
      </c>
      <c r="AS19" s="33">
        <v>5</v>
      </c>
      <c r="AT19" s="33">
        <v>5</v>
      </c>
      <c r="AU19" s="33">
        <v>5</v>
      </c>
      <c r="AV19" s="42">
        <v>5</v>
      </c>
      <c r="AW19" s="33">
        <v>7</v>
      </c>
      <c r="AX19" s="20">
        <v>7</v>
      </c>
      <c r="AY19" s="20">
        <v>7</v>
      </c>
      <c r="AZ19" s="45">
        <v>7</v>
      </c>
      <c r="BA19" s="20">
        <v>8</v>
      </c>
    </row>
    <row r="20" spans="1:53" ht="14.5" x14ac:dyDescent="0.35">
      <c r="A20" s="29" t="s">
        <v>64</v>
      </c>
      <c r="B20" s="32"/>
      <c r="C20" s="33">
        <v>5</v>
      </c>
      <c r="D20" s="33">
        <v>6</v>
      </c>
      <c r="E20" s="33">
        <v>7</v>
      </c>
      <c r="F20" s="33">
        <v>7</v>
      </c>
      <c r="G20" s="33">
        <v>7</v>
      </c>
      <c r="H20" s="33">
        <v>8</v>
      </c>
      <c r="I20" s="33">
        <v>7</v>
      </c>
      <c r="J20" s="33">
        <v>1</v>
      </c>
      <c r="K20" s="33">
        <v>4</v>
      </c>
      <c r="L20" s="33">
        <v>6</v>
      </c>
      <c r="M20" s="33">
        <v>2</v>
      </c>
      <c r="N20" s="33">
        <v>5</v>
      </c>
      <c r="O20" s="33">
        <v>6</v>
      </c>
      <c r="P20" s="33">
        <v>7</v>
      </c>
      <c r="Q20" s="33">
        <v>3</v>
      </c>
      <c r="R20" s="33">
        <v>4</v>
      </c>
      <c r="S20" s="33">
        <v>5</v>
      </c>
      <c r="T20" s="33">
        <v>7</v>
      </c>
      <c r="U20" s="33">
        <v>5</v>
      </c>
      <c r="V20" s="33">
        <v>3</v>
      </c>
      <c r="W20" s="33">
        <v>3</v>
      </c>
      <c r="X20" s="33">
        <v>7</v>
      </c>
      <c r="Y20" s="33">
        <v>5</v>
      </c>
      <c r="Z20" s="33">
        <v>5</v>
      </c>
      <c r="AA20" s="33">
        <v>5</v>
      </c>
      <c r="AB20" s="33">
        <v>8</v>
      </c>
      <c r="AC20" s="33">
        <v>2</v>
      </c>
      <c r="AD20" s="33">
        <v>6</v>
      </c>
      <c r="AE20" s="33">
        <v>6</v>
      </c>
      <c r="AF20" s="33">
        <v>1</v>
      </c>
      <c r="AG20" s="33">
        <v>1</v>
      </c>
      <c r="AH20" s="33">
        <v>1</v>
      </c>
      <c r="AI20" s="33">
        <v>1</v>
      </c>
      <c r="AJ20" s="33">
        <v>5</v>
      </c>
      <c r="AK20" s="33">
        <v>3</v>
      </c>
      <c r="AL20" s="33">
        <v>3</v>
      </c>
      <c r="AM20" s="33">
        <v>5</v>
      </c>
      <c r="AN20" s="33">
        <v>6</v>
      </c>
      <c r="AO20" s="33">
        <v>3</v>
      </c>
      <c r="AP20" s="33">
        <v>8</v>
      </c>
      <c r="AQ20" s="33">
        <v>6</v>
      </c>
      <c r="AR20" s="33">
        <v>7</v>
      </c>
      <c r="AS20" s="33">
        <v>4</v>
      </c>
      <c r="AT20" s="33">
        <v>4</v>
      </c>
      <c r="AU20" s="33">
        <v>7</v>
      </c>
      <c r="AV20" s="42">
        <v>4</v>
      </c>
      <c r="AW20" s="33">
        <v>5</v>
      </c>
      <c r="AX20" s="20">
        <v>5</v>
      </c>
      <c r="AY20" s="20">
        <v>5</v>
      </c>
      <c r="AZ20" s="45">
        <v>6</v>
      </c>
      <c r="BA20" s="20">
        <v>6</v>
      </c>
    </row>
    <row r="21" spans="1:53" ht="14.5" x14ac:dyDescent="0.35">
      <c r="B21" s="36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8"/>
      <c r="AW21" s="33"/>
      <c r="AX21" s="20"/>
      <c r="AY21" s="20"/>
      <c r="AZ21" s="46"/>
      <c r="BA21" s="39"/>
    </row>
    <row r="22" spans="1:53" ht="14.5" x14ac:dyDescent="0.35"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1"/>
      <c r="AW22" s="33"/>
      <c r="AX22" s="20"/>
      <c r="AY22" s="20"/>
      <c r="AZ22" s="45"/>
      <c r="BA22" s="20"/>
    </row>
    <row r="23" spans="1:53" ht="14.5" x14ac:dyDescent="0.35">
      <c r="B23" s="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1"/>
      <c r="AW23" s="33"/>
      <c r="AX23" s="20"/>
      <c r="AY23" s="20"/>
      <c r="AZ23" s="45"/>
      <c r="BA23" s="20"/>
    </row>
    <row r="24" spans="1:53" ht="14.5" x14ac:dyDescent="0.35">
      <c r="B24" s="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1"/>
      <c r="AW24" s="33"/>
      <c r="AX24" s="20"/>
      <c r="AY24" s="20"/>
      <c r="AZ24" s="45"/>
      <c r="BA24" s="20"/>
    </row>
    <row r="25" spans="1:53" ht="14.5" x14ac:dyDescent="0.35">
      <c r="A25" s="2"/>
      <c r="B25" s="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1"/>
      <c r="AW25" s="33"/>
      <c r="AX25" s="20"/>
      <c r="AY25" s="20"/>
      <c r="AZ25" s="45"/>
      <c r="BA25" s="20"/>
    </row>
    <row r="26" spans="1:53" ht="14.5" x14ac:dyDescent="0.35">
      <c r="A26" s="2"/>
      <c r="B26" s="7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1"/>
      <c r="AW26" s="33"/>
      <c r="AX26" s="20"/>
      <c r="AY26" s="20"/>
      <c r="AZ26" s="45"/>
      <c r="BA26" s="20"/>
    </row>
    <row r="27" spans="1:53" ht="14.5" x14ac:dyDescent="0.35">
      <c r="A27" s="2"/>
      <c r="B27" s="7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1"/>
      <c r="AW27" s="33"/>
      <c r="AX27" s="20"/>
      <c r="AY27" s="20"/>
      <c r="AZ27" s="45"/>
      <c r="BA27" s="20"/>
    </row>
    <row r="28" spans="1:53" ht="14.5" x14ac:dyDescent="0.35">
      <c r="A28" s="2"/>
      <c r="B28" s="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1"/>
      <c r="AW28" s="33"/>
      <c r="AX28" s="20"/>
      <c r="AY28" s="20"/>
      <c r="AZ28" s="45"/>
      <c r="BA28" s="20"/>
    </row>
    <row r="29" spans="1:53" ht="14.5" x14ac:dyDescent="0.35">
      <c r="A29" s="2"/>
      <c r="B29" s="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1"/>
      <c r="AW29" s="33"/>
      <c r="AX29" s="20"/>
      <c r="AY29" s="20"/>
      <c r="AZ29" s="45"/>
      <c r="BA29" s="20"/>
    </row>
    <row r="30" spans="1:53" ht="14.5" x14ac:dyDescent="0.35">
      <c r="A30" s="2"/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1"/>
      <c r="AW30" s="33"/>
      <c r="AX30" s="20"/>
      <c r="AY30" s="20"/>
      <c r="AZ30" s="45"/>
      <c r="BA30" s="20"/>
    </row>
    <row r="31" spans="1:53" ht="14.5" x14ac:dyDescent="0.35">
      <c r="A31" s="2"/>
      <c r="B31" s="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1"/>
      <c r="AW31" s="33"/>
      <c r="AX31" s="20"/>
      <c r="AY31" s="20"/>
      <c r="AZ31" s="45"/>
      <c r="BA31" s="20"/>
    </row>
    <row r="32" spans="1:53" ht="14.5" x14ac:dyDescent="0.35">
      <c r="A32" s="2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1"/>
      <c r="AW32" s="33"/>
      <c r="AX32" s="20"/>
      <c r="AY32" s="20"/>
      <c r="AZ32" s="45"/>
      <c r="BA32" s="20"/>
    </row>
    <row r="33" spans="1:53" ht="14.5" x14ac:dyDescent="0.35">
      <c r="A33" s="2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1"/>
      <c r="AW33" s="33"/>
      <c r="AX33" s="20"/>
      <c r="AY33" s="20"/>
      <c r="AZ33" s="45"/>
      <c r="BA33" s="20"/>
    </row>
    <row r="34" spans="1:53" ht="14.5" x14ac:dyDescent="0.35">
      <c r="A34" s="2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1"/>
      <c r="AW34" s="33"/>
      <c r="AX34" s="20"/>
      <c r="AY34" s="20"/>
      <c r="AZ34" s="45"/>
      <c r="BA34" s="20"/>
    </row>
    <row r="35" spans="1:53" ht="14.5" x14ac:dyDescent="0.35">
      <c r="A35" s="2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1"/>
      <c r="AW35" s="33"/>
      <c r="AX35" s="20"/>
      <c r="AY35" s="20"/>
      <c r="AZ35" s="45"/>
      <c r="BA35" s="20"/>
    </row>
    <row r="36" spans="1:53" ht="14.5" x14ac:dyDescent="0.35">
      <c r="A36" s="2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1"/>
      <c r="AW36" s="33"/>
      <c r="AX36" s="20"/>
      <c r="AY36" s="20"/>
      <c r="AZ36" s="45"/>
      <c r="BA36" s="20"/>
    </row>
    <row r="37" spans="1:53" ht="14.5" x14ac:dyDescent="0.35">
      <c r="A37" s="2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1"/>
      <c r="AW37" s="33"/>
      <c r="AX37" s="20"/>
      <c r="AY37" s="20"/>
      <c r="AZ37" s="45"/>
      <c r="BA37" s="20"/>
    </row>
    <row r="38" spans="1:53" ht="14.5" x14ac:dyDescent="0.35">
      <c r="A38" s="2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1"/>
      <c r="AW38" s="33"/>
      <c r="AX38" s="20"/>
      <c r="AY38" s="20"/>
      <c r="AZ38" s="45"/>
      <c r="BA38" s="20"/>
    </row>
    <row r="39" spans="1:53" ht="14.5" x14ac:dyDescent="0.35">
      <c r="A39" s="2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1"/>
      <c r="AW39" s="33"/>
      <c r="AX39" s="20"/>
      <c r="AY39" s="20"/>
      <c r="AZ39" s="45"/>
      <c r="BA39" s="20"/>
    </row>
    <row r="40" spans="1:53" ht="14.5" x14ac:dyDescent="0.35">
      <c r="A40" s="2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1"/>
      <c r="AW40" s="33"/>
      <c r="AX40" s="20"/>
      <c r="AY40" s="20"/>
      <c r="AZ40" s="45"/>
      <c r="BA40" s="20"/>
    </row>
    <row r="41" spans="1:53" ht="14.5" x14ac:dyDescent="0.35">
      <c r="A41" s="2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1"/>
      <c r="AW41" s="33"/>
      <c r="AX41" s="20"/>
      <c r="AY41" s="20"/>
      <c r="AZ41" s="45"/>
      <c r="BA41" s="20"/>
    </row>
    <row r="42" spans="1:53" ht="14.5" x14ac:dyDescent="0.35">
      <c r="A42" s="2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1"/>
      <c r="AW42" s="33"/>
      <c r="AX42" s="20"/>
      <c r="AY42" s="20"/>
      <c r="AZ42" s="45"/>
      <c r="BA42" s="20"/>
    </row>
    <row r="43" spans="1:53" ht="14.5" x14ac:dyDescent="0.35">
      <c r="A43" s="2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1"/>
      <c r="AW43" s="33"/>
      <c r="AX43" s="20"/>
      <c r="AY43" s="20"/>
      <c r="AZ43" s="45"/>
      <c r="BA43" s="20"/>
    </row>
    <row r="44" spans="1:53" ht="14.5" x14ac:dyDescent="0.35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1"/>
      <c r="AW44" s="33"/>
      <c r="AX44" s="20"/>
      <c r="AY44" s="20"/>
      <c r="AZ44" s="45"/>
      <c r="BA44" s="20"/>
    </row>
    <row r="45" spans="1:53" ht="14.5" x14ac:dyDescent="0.35">
      <c r="A45" s="2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1"/>
      <c r="AW45" s="33"/>
      <c r="AX45" s="20"/>
      <c r="AY45" s="20"/>
      <c r="AZ45" s="45"/>
      <c r="BA45" s="20"/>
    </row>
    <row r="46" spans="1:53" ht="14.5" x14ac:dyDescent="0.35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1"/>
      <c r="AW46" s="33"/>
      <c r="AX46" s="20"/>
      <c r="AY46" s="20"/>
      <c r="AZ46" s="45"/>
      <c r="BA46" s="20"/>
    </row>
    <row r="47" spans="1:53" ht="14.5" x14ac:dyDescent="0.35"/>
  </sheetData>
  <mergeCells count="13">
    <mergeCell ref="AJ2:AM2"/>
    <mergeCell ref="AF1:AM1"/>
    <mergeCell ref="AC1:AD1"/>
    <mergeCell ref="I2:J2"/>
    <mergeCell ref="N1:O1"/>
    <mergeCell ref="Q1:R1"/>
    <mergeCell ref="S1:T1"/>
    <mergeCell ref="AF2:AI2"/>
    <mergeCell ref="AZ1:BA1"/>
    <mergeCell ref="AW1:AY1"/>
    <mergeCell ref="E1:F1"/>
    <mergeCell ref="G1:H1"/>
    <mergeCell ref="I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2F76-4881-4354-879B-2DA34A05E0E5}">
  <sheetPr codeName="Sheet13"/>
  <dimension ref="A1:N22"/>
  <sheetViews>
    <sheetView topLeftCell="B1" workbookViewId="0">
      <selection activeCell="N6" sqref="N6:N22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8.26953125" bestFit="1" customWidth="1"/>
    <col min="11" max="11" width="16.6328125" bestFit="1" customWidth="1"/>
    <col min="12" max="12" width="17.453125" bestFit="1" customWidth="1"/>
    <col min="13" max="13" width="13.36328125" bestFit="1" customWidth="1"/>
    <col min="14" max="14" width="16.81640625" bestFit="1" customWidth="1"/>
  </cols>
  <sheetData>
    <row r="1" spans="1:14" ht="14.5" customHeight="1" x14ac:dyDescent="0.35">
      <c r="A1" s="84" t="s">
        <v>287</v>
      </c>
      <c r="B1" s="84"/>
      <c r="C1" s="84"/>
      <c r="D1" s="84"/>
      <c r="E1" s="84"/>
      <c r="F1" s="84"/>
      <c r="I1" s="84" t="s">
        <v>288</v>
      </c>
      <c r="J1" s="84"/>
      <c r="K1" s="84"/>
      <c r="L1" s="84"/>
      <c r="M1" s="84"/>
      <c r="N1" s="84"/>
    </row>
    <row r="2" spans="1:14" ht="14.5" customHeight="1" x14ac:dyDescent="0.35">
      <c r="A2" s="84"/>
      <c r="B2" s="84"/>
      <c r="C2" s="84"/>
      <c r="D2" s="84"/>
      <c r="E2" s="84"/>
      <c r="F2" s="84"/>
      <c r="I2" s="84"/>
      <c r="J2" s="84"/>
      <c r="K2" s="84"/>
      <c r="L2" s="84"/>
      <c r="M2" s="84"/>
      <c r="N2" s="84"/>
    </row>
    <row r="5" spans="1:14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  <c r="I5" s="85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86" t="s">
        <v>286</v>
      </c>
    </row>
    <row r="6" spans="1:14" x14ac:dyDescent="0.35">
      <c r="A6" s="1" t="str">
        <f>IF('Skill Index'!E4=10,'Skill Index'!A4,"")</f>
        <v/>
      </c>
      <c r="B6" s="1" t="str">
        <f>IF('Skill Index'!E4=9,'Skill Index'!A4,"")</f>
        <v/>
      </c>
      <c r="C6" s="1" t="str">
        <f>IF('Skill Index'!E4=8,'Skill Index'!A4,"")</f>
        <v>Ankit Rajput</v>
      </c>
      <c r="D6" s="1" t="str">
        <f>IF('Skill Index'!E4=7,'Skill Index'!A4,"")</f>
        <v/>
      </c>
      <c r="E6" s="1" t="str">
        <f>IF('Skill Index'!E4=6,'Skill Index'!A4,"")</f>
        <v/>
      </c>
      <c r="F6" s="1" t="str">
        <f>IF('Skill Index'!E4&lt;6,'Skill Index'!A4,"")</f>
        <v/>
      </c>
      <c r="I6" s="1" t="str">
        <f>IF('Skill Index'!F4=10,'Skill Index'!A4,"")</f>
        <v/>
      </c>
      <c r="J6" s="1" t="str">
        <f>IF('Skill Index'!F4=9,'Skill Index'!A4,"")</f>
        <v/>
      </c>
      <c r="K6" s="1" t="str">
        <f>IF('Skill Index'!F4=8,'Skill Index'!A4,"")</f>
        <v/>
      </c>
      <c r="L6" s="1" t="str">
        <f>IF('Skill Index'!F4=7,'Skill Index'!A4,"")</f>
        <v/>
      </c>
      <c r="M6" s="1" t="str">
        <f>IF('Skill Index'!F4=6,'Skill Index'!A4,"")</f>
        <v>Ankit Rajput</v>
      </c>
      <c r="N6" s="1" t="str">
        <f>IF('Skill Index'!F4&lt;6,'Skill Index'!A4,"")</f>
        <v/>
      </c>
    </row>
    <row r="7" spans="1:14" x14ac:dyDescent="0.35">
      <c r="A7" s="1" t="str">
        <f>IF('Skill Index'!E5=10,'Skill Index'!A5,"")</f>
        <v/>
      </c>
      <c r="B7" s="1" t="str">
        <f>IF('Skill Index'!E5=9,'Skill Index'!A5,"")</f>
        <v/>
      </c>
      <c r="C7" s="1" t="str">
        <f>IF('Skill Index'!E5=8,'Skill Index'!A5,"")</f>
        <v/>
      </c>
      <c r="D7" s="1" t="str">
        <f>IF('Skill Index'!E5=7,'Skill Index'!A5,"")</f>
        <v>Anusha Gunda</v>
      </c>
      <c r="E7" s="1" t="str">
        <f>IF('Skill Index'!E5=6,'Skill Index'!A5,"")</f>
        <v/>
      </c>
      <c r="F7" s="1" t="str">
        <f>IF('Skill Index'!E5&lt;6,'Skill Index'!A5,"")</f>
        <v/>
      </c>
      <c r="I7" s="1" t="str">
        <f>IF('Skill Index'!F5=10,'Skill Index'!A5,"")</f>
        <v/>
      </c>
      <c r="J7" s="1" t="str">
        <f>IF('Skill Index'!F5=9,'Skill Index'!A5,"")</f>
        <v/>
      </c>
      <c r="K7" s="1" t="str">
        <f>IF('Skill Index'!F5=8,'Skill Index'!A5,"")</f>
        <v/>
      </c>
      <c r="L7" s="1" t="str">
        <f>IF('Skill Index'!F5=7,'Skill Index'!A5,"")</f>
        <v>Anusha Gunda</v>
      </c>
      <c r="M7" s="1" t="str">
        <f>IF('Skill Index'!F5=6,'Skill Index'!A5,"")</f>
        <v/>
      </c>
      <c r="N7" s="1" t="str">
        <f>IF('Skill Index'!F5&lt;6,'Skill Index'!A5,"")</f>
        <v/>
      </c>
    </row>
    <row r="8" spans="1:14" x14ac:dyDescent="0.35">
      <c r="A8" s="1" t="str">
        <f>IF('Skill Index'!E6=10,'Skill Index'!A6,"")</f>
        <v/>
      </c>
      <c r="B8" s="1" t="str">
        <f>IF('Skill Index'!E6=9,'Skill Index'!A6,"")</f>
        <v/>
      </c>
      <c r="C8" s="1" t="str">
        <f>IF('Skill Index'!E6=8,'Skill Index'!A6,"")</f>
        <v/>
      </c>
      <c r="D8" s="1" t="str">
        <f>IF('Skill Index'!E6=7,'Skill Index'!A6,"")</f>
        <v/>
      </c>
      <c r="E8" s="1" t="str">
        <f>IF('Skill Index'!E6=6,'Skill Index'!A6,"")</f>
        <v/>
      </c>
      <c r="F8" s="1" t="str">
        <f>IF('Skill Index'!E6&lt;6,'Skill Index'!A6,"")</f>
        <v>Arun Kumar</v>
      </c>
      <c r="I8" s="1" t="str">
        <f>IF('Skill Index'!F6=10,'Skill Index'!A6,"")</f>
        <v/>
      </c>
      <c r="J8" s="1" t="str">
        <f>IF('Skill Index'!F6=9,'Skill Index'!A6,"")</f>
        <v/>
      </c>
      <c r="K8" s="1" t="str">
        <f>IF('Skill Index'!F6=8,'Skill Index'!A6,"")</f>
        <v/>
      </c>
      <c r="L8" s="1" t="str">
        <f>IF('Skill Index'!F6=7,'Skill Index'!A6,"")</f>
        <v/>
      </c>
      <c r="M8" s="1" t="str">
        <f>IF('Skill Index'!F6=6,'Skill Index'!A6,"")</f>
        <v/>
      </c>
      <c r="N8" s="1" t="str">
        <f>IF('Skill Index'!F6&lt;6,'Skill Index'!A6,"")</f>
        <v>Arun Kumar</v>
      </c>
    </row>
    <row r="9" spans="1:14" x14ac:dyDescent="0.35">
      <c r="A9" s="1" t="str">
        <f>IF('Skill Index'!E7=10,'Skill Index'!A7,"")</f>
        <v/>
      </c>
      <c r="B9" s="1" t="str">
        <f>IF('Skill Index'!E7=9,'Skill Index'!A7,"")</f>
        <v/>
      </c>
      <c r="C9" s="1" t="str">
        <f>IF('Skill Index'!E7=8,'Skill Index'!A7,"")</f>
        <v>Ashraya H D</v>
      </c>
      <c r="D9" s="1" t="str">
        <f>IF('Skill Index'!E7=7,'Skill Index'!A7,"")</f>
        <v/>
      </c>
      <c r="E9" s="1" t="str">
        <f>IF('Skill Index'!E7=6,'Skill Index'!A7,"")</f>
        <v/>
      </c>
      <c r="F9" s="1" t="str">
        <f>IF('Skill Index'!E7&lt;6,'Skill Index'!A7,"")</f>
        <v/>
      </c>
      <c r="I9" s="1" t="str">
        <f>IF('Skill Index'!F7=10,'Skill Index'!A7,"")</f>
        <v/>
      </c>
      <c r="J9" s="1" t="str">
        <f>IF('Skill Index'!F7=9,'Skill Index'!A7,"")</f>
        <v/>
      </c>
      <c r="K9" s="1" t="str">
        <f>IF('Skill Index'!F7=8,'Skill Index'!A7,"")</f>
        <v/>
      </c>
      <c r="L9" s="1" t="str">
        <f>IF('Skill Index'!F7=7,'Skill Index'!A7,"")</f>
        <v>Ashraya H D</v>
      </c>
      <c r="M9" s="1" t="str">
        <f>IF('Skill Index'!F7=6,'Skill Index'!A7,"")</f>
        <v/>
      </c>
      <c r="N9" s="1" t="str">
        <f>IF('Skill Index'!F7&lt;6,'Skill Index'!A7,"")</f>
        <v/>
      </c>
    </row>
    <row r="10" spans="1:14" x14ac:dyDescent="0.35">
      <c r="A10" s="1" t="str">
        <f>IF('Skill Index'!E8=10,'Skill Index'!A8,"")</f>
        <v/>
      </c>
      <c r="B10" s="1" t="str">
        <f>IF('Skill Index'!E8=9,'Skill Index'!A8,"")</f>
        <v/>
      </c>
      <c r="C10" s="1" t="str">
        <f>IF('Skill Index'!E8=8,'Skill Index'!A8,"")</f>
        <v/>
      </c>
      <c r="D10" s="1" t="str">
        <f>IF('Skill Index'!E8=7,'Skill Index'!A8,"")</f>
        <v>Jeet Doshi</v>
      </c>
      <c r="E10" s="1" t="str">
        <f>IF('Skill Index'!E8=6,'Skill Index'!A8,"")</f>
        <v/>
      </c>
      <c r="F10" s="1" t="str">
        <f>IF('Skill Index'!E8&lt;6,'Skill Index'!A8,"")</f>
        <v/>
      </c>
      <c r="I10" s="1" t="str">
        <f>IF('Skill Index'!F8=10,'Skill Index'!A8,"")</f>
        <v/>
      </c>
      <c r="J10" s="1" t="str">
        <f>IF('Skill Index'!F8=9,'Skill Index'!A8,"")</f>
        <v/>
      </c>
      <c r="K10" s="1" t="str">
        <f>IF('Skill Index'!F8=8,'Skill Index'!A8,"")</f>
        <v/>
      </c>
      <c r="L10" s="1" t="str">
        <f>IF('Skill Index'!F8=7,'Skill Index'!A8,"")</f>
        <v>Jeet Doshi</v>
      </c>
      <c r="M10" s="1" t="str">
        <f>IF('Skill Index'!F8=6,'Skill Index'!A8,"")</f>
        <v/>
      </c>
      <c r="N10" s="1" t="str">
        <f>IF('Skill Index'!F8&lt;6,'Skill Index'!A8,"")</f>
        <v/>
      </c>
    </row>
    <row r="11" spans="1:14" x14ac:dyDescent="0.35">
      <c r="A11" s="1" t="str">
        <f>IF('Skill Index'!E9=10,'Skill Index'!A9,"")</f>
        <v/>
      </c>
      <c r="B11" s="1" t="str">
        <f>IF('Skill Index'!E9=9,'Skill Index'!A9,"")</f>
        <v/>
      </c>
      <c r="C11" s="1" t="str">
        <f>IF('Skill Index'!E9=8,'Skill Index'!A9,"")</f>
        <v/>
      </c>
      <c r="D11" s="1" t="str">
        <f>IF('Skill Index'!E9=7,'Skill Index'!A9,"")</f>
        <v>Mahesh Kumar</v>
      </c>
      <c r="E11" s="1" t="str">
        <f>IF('Skill Index'!E9=6,'Skill Index'!A9,"")</f>
        <v/>
      </c>
      <c r="F11" s="1" t="str">
        <f>IF('Skill Index'!E9&lt;6,'Skill Index'!A9,"")</f>
        <v/>
      </c>
      <c r="I11" s="1" t="str">
        <f>IF('Skill Index'!F9=10,'Skill Index'!A9,"")</f>
        <v/>
      </c>
      <c r="J11" s="1" t="str">
        <f>IF('Skill Index'!F9=9,'Skill Index'!A9,"")</f>
        <v/>
      </c>
      <c r="K11" s="1" t="str">
        <f>IF('Skill Index'!F9=8,'Skill Index'!A9,"")</f>
        <v/>
      </c>
      <c r="L11" s="1" t="str">
        <f>IF('Skill Index'!F9=7,'Skill Index'!A9,"")</f>
        <v>Mahesh Kumar</v>
      </c>
      <c r="M11" s="1" t="str">
        <f>IF('Skill Index'!F9=6,'Skill Index'!A9,"")</f>
        <v/>
      </c>
      <c r="N11" s="1" t="str">
        <f>IF('Skill Index'!F9&lt;6,'Skill Index'!A9,"")</f>
        <v/>
      </c>
    </row>
    <row r="12" spans="1:14" x14ac:dyDescent="0.35">
      <c r="A12" s="1" t="str">
        <f>IF('Skill Index'!E10=10,'Skill Index'!A10,"")</f>
        <v/>
      </c>
      <c r="B12" s="1" t="str">
        <f>IF('Skill Index'!E10=9,'Skill Index'!A10,"")</f>
        <v/>
      </c>
      <c r="C12" s="1" t="str">
        <f>IF('Skill Index'!E10=8,'Skill Index'!A10,"")</f>
        <v>Nilekha Repaka</v>
      </c>
      <c r="D12" s="1" t="str">
        <f>IF('Skill Index'!E10=7,'Skill Index'!A10,"")</f>
        <v/>
      </c>
      <c r="E12" s="1" t="str">
        <f>IF('Skill Index'!E10=6,'Skill Index'!A10,"")</f>
        <v/>
      </c>
      <c r="F12" s="1" t="str">
        <f>IF('Skill Index'!E10&lt;6,'Skill Index'!A10,"")</f>
        <v/>
      </c>
      <c r="I12" s="1" t="str">
        <f>IF('Skill Index'!F10=10,'Skill Index'!A10,"")</f>
        <v/>
      </c>
      <c r="J12" s="1" t="str">
        <f>IF('Skill Index'!F10=9,'Skill Index'!A10,"")</f>
        <v/>
      </c>
      <c r="K12" s="1" t="str">
        <f>IF('Skill Index'!F10=8,'Skill Index'!A10,"")</f>
        <v>Nilekha Repaka</v>
      </c>
      <c r="L12" s="1" t="str">
        <f>IF('Skill Index'!F10=7,'Skill Index'!A10,"")</f>
        <v/>
      </c>
      <c r="M12" s="1" t="str">
        <f>IF('Skill Index'!F10=6,'Skill Index'!A10,"")</f>
        <v/>
      </c>
      <c r="N12" s="1" t="str">
        <f>IF('Skill Index'!F10&lt;6,'Skill Index'!A10,"")</f>
        <v/>
      </c>
    </row>
    <row r="13" spans="1:14" x14ac:dyDescent="0.35">
      <c r="A13" s="1" t="str">
        <f>IF('Skill Index'!E11=10,'Skill Index'!A11,"")</f>
        <v/>
      </c>
      <c r="B13" s="1" t="str">
        <f>IF('Skill Index'!E11=9,'Skill Index'!A11,"")</f>
        <v/>
      </c>
      <c r="C13" s="1" t="str">
        <f>IF('Skill Index'!E11=8,'Skill Index'!A11,"")</f>
        <v>Pawan Rathore</v>
      </c>
      <c r="D13" s="1" t="str">
        <f>IF('Skill Index'!E11=7,'Skill Index'!A11,"")</f>
        <v/>
      </c>
      <c r="E13" s="1" t="str">
        <f>IF('Skill Index'!E11=6,'Skill Index'!A11,"")</f>
        <v/>
      </c>
      <c r="F13" s="1" t="str">
        <f>IF('Skill Index'!E11&lt;6,'Skill Index'!A11,"")</f>
        <v/>
      </c>
      <c r="I13" s="1" t="str">
        <f>IF('Skill Index'!F11=10,'Skill Index'!A11,"")</f>
        <v/>
      </c>
      <c r="J13" s="1" t="str">
        <f>IF('Skill Index'!F11=9,'Skill Index'!A11,"")</f>
        <v/>
      </c>
      <c r="K13" s="1" t="str">
        <f>IF('Skill Index'!F11=8,'Skill Index'!A11,"")</f>
        <v/>
      </c>
      <c r="L13" s="1" t="str">
        <f>IF('Skill Index'!F11=7,'Skill Index'!A11,"")</f>
        <v>Pawan Rathore</v>
      </c>
      <c r="M13" s="1" t="str">
        <f>IF('Skill Index'!F11=6,'Skill Index'!A11,"")</f>
        <v/>
      </c>
      <c r="N13" s="1" t="str">
        <f>IF('Skill Index'!F11&lt;6,'Skill Index'!A11,"")</f>
        <v/>
      </c>
    </row>
    <row r="14" spans="1:14" x14ac:dyDescent="0.35">
      <c r="A14" s="1" t="str">
        <f>IF('Skill Index'!E12=10,'Skill Index'!A12,"")</f>
        <v/>
      </c>
      <c r="B14" s="1" t="str">
        <f>IF('Skill Index'!E12=9,'Skill Index'!A12,"")</f>
        <v/>
      </c>
      <c r="C14" s="1" t="str">
        <f>IF('Skill Index'!E12=8,'Skill Index'!A12,"")</f>
        <v>Priyesh Tiwari</v>
      </c>
      <c r="D14" s="1" t="str">
        <f>IF('Skill Index'!E12=7,'Skill Index'!A12,"")</f>
        <v/>
      </c>
      <c r="E14" s="1" t="str">
        <f>IF('Skill Index'!E12=6,'Skill Index'!A12,"")</f>
        <v/>
      </c>
      <c r="F14" s="1" t="str">
        <f>IF('Skill Index'!E12&lt;6,'Skill Index'!A12,"")</f>
        <v/>
      </c>
      <c r="I14" s="1" t="str">
        <f>IF('Skill Index'!F12=10,'Skill Index'!A12,"")</f>
        <v/>
      </c>
      <c r="J14" s="1" t="str">
        <f>IF('Skill Index'!F12=9,'Skill Index'!A12,"")</f>
        <v/>
      </c>
      <c r="K14" s="1" t="str">
        <f>IF('Skill Index'!F12=8,'Skill Index'!A12,"")</f>
        <v/>
      </c>
      <c r="L14" s="1" t="str">
        <f>IF('Skill Index'!F12=7,'Skill Index'!A12,"")</f>
        <v>Priyesh Tiwari</v>
      </c>
      <c r="M14" s="1" t="str">
        <f>IF('Skill Index'!F12=6,'Skill Index'!A12,"")</f>
        <v/>
      </c>
      <c r="N14" s="1" t="str">
        <f>IF('Skill Index'!F12&lt;6,'Skill Index'!A12,"")</f>
        <v/>
      </c>
    </row>
    <row r="15" spans="1:14" x14ac:dyDescent="0.35">
      <c r="A15" s="1" t="str">
        <f>IF('Skill Index'!E13=10,'Skill Index'!A13,"")</f>
        <v/>
      </c>
      <c r="B15" s="1" t="str">
        <f>IF('Skill Index'!E13=9,'Skill Index'!A13,"")</f>
        <v/>
      </c>
      <c r="C15" s="1" t="str">
        <f>IF('Skill Index'!E13=8,'Skill Index'!A13,"")</f>
        <v>Rahul Kumar</v>
      </c>
      <c r="D15" s="1" t="str">
        <f>IF('Skill Index'!E13=7,'Skill Index'!A13,"")</f>
        <v/>
      </c>
      <c r="E15" s="1" t="str">
        <f>IF('Skill Index'!E13=6,'Skill Index'!A13,"")</f>
        <v/>
      </c>
      <c r="F15" s="1" t="str">
        <f>IF('Skill Index'!E13&lt;6,'Skill Index'!A13,"")</f>
        <v/>
      </c>
      <c r="I15" s="1" t="str">
        <f>IF('Skill Index'!F13=10,'Skill Index'!A13,"")</f>
        <v/>
      </c>
      <c r="J15" s="1" t="str">
        <f>IF('Skill Index'!F13=9,'Skill Index'!A13,"")</f>
        <v/>
      </c>
      <c r="K15" s="1" t="str">
        <f>IF('Skill Index'!F13=8,'Skill Index'!A13,"")</f>
        <v>Rahul Kumar</v>
      </c>
      <c r="L15" s="1" t="str">
        <f>IF('Skill Index'!F13=7,'Skill Index'!A13,"")</f>
        <v/>
      </c>
      <c r="M15" s="1" t="str">
        <f>IF('Skill Index'!F13=6,'Skill Index'!A13,"")</f>
        <v/>
      </c>
      <c r="N15" s="1" t="str">
        <f>IF('Skill Index'!F13&lt;6,'Skill Index'!A13,"")</f>
        <v/>
      </c>
    </row>
    <row r="16" spans="1:14" x14ac:dyDescent="0.35">
      <c r="A16" s="1" t="str">
        <f>IF('Skill Index'!E14=10,'Skill Index'!A14,"")</f>
        <v/>
      </c>
      <c r="B16" s="1" t="str">
        <f>IF('Skill Index'!E14=9,'Skill Index'!A14,"")</f>
        <v/>
      </c>
      <c r="C16" s="1" t="str">
        <f>IF('Skill Index'!E14=8,'Skill Index'!A14,"")</f>
        <v>Ramkrishna Kadiya</v>
      </c>
      <c r="D16" s="1" t="str">
        <f>IF('Skill Index'!E14=7,'Skill Index'!A14,"")</f>
        <v/>
      </c>
      <c r="E16" s="1" t="str">
        <f>IF('Skill Index'!E14=6,'Skill Index'!A14,"")</f>
        <v/>
      </c>
      <c r="F16" s="1" t="str">
        <f>IF('Skill Index'!E14&lt;6,'Skill Index'!A14,"")</f>
        <v/>
      </c>
      <c r="I16" s="1" t="str">
        <f>IF('Skill Index'!F14=10,'Skill Index'!A14,"")</f>
        <v/>
      </c>
      <c r="J16" s="1" t="str">
        <f>IF('Skill Index'!F14=9,'Skill Index'!A14,"")</f>
        <v/>
      </c>
      <c r="K16" s="1" t="str">
        <f>IF('Skill Index'!F14=8,'Skill Index'!A14,"")</f>
        <v>Ramkrishna Kadiya</v>
      </c>
      <c r="L16" s="1" t="str">
        <f>IF('Skill Index'!F14=7,'Skill Index'!A14,"")</f>
        <v/>
      </c>
      <c r="M16" s="1" t="str">
        <f>IF('Skill Index'!F14=6,'Skill Index'!A14,"")</f>
        <v/>
      </c>
      <c r="N16" s="1" t="str">
        <f>IF('Skill Index'!F14&lt;6,'Skill Index'!A14,"")</f>
        <v/>
      </c>
    </row>
    <row r="17" spans="1:14" x14ac:dyDescent="0.35">
      <c r="A17" s="1" t="str">
        <f>IF('Skill Index'!E15=10,'Skill Index'!A15,"")</f>
        <v/>
      </c>
      <c r="B17" s="1" t="str">
        <f>IF('Skill Index'!E15=9,'Skill Index'!A15,"")</f>
        <v/>
      </c>
      <c r="C17" s="1" t="str">
        <f>IF('Skill Index'!E15=8,'Skill Index'!A15,"")</f>
        <v>Revanth Anguluri</v>
      </c>
      <c r="D17" s="1" t="str">
        <f>IF('Skill Index'!E15=7,'Skill Index'!A15,"")</f>
        <v/>
      </c>
      <c r="E17" s="1" t="str">
        <f>IF('Skill Index'!E15=6,'Skill Index'!A15,"")</f>
        <v/>
      </c>
      <c r="F17" s="1" t="str">
        <f>IF('Skill Index'!E15&lt;6,'Skill Index'!A15,"")</f>
        <v/>
      </c>
      <c r="I17" s="1" t="str">
        <f>IF('Skill Index'!F15=10,'Skill Index'!A15,"")</f>
        <v/>
      </c>
      <c r="J17" s="1" t="str">
        <f>IF('Skill Index'!F15=9,'Skill Index'!A15,"")</f>
        <v/>
      </c>
      <c r="K17" s="1" t="str">
        <f>IF('Skill Index'!F15=8,'Skill Index'!A15,"")</f>
        <v>Revanth Anguluri</v>
      </c>
      <c r="L17" s="1" t="str">
        <f>IF('Skill Index'!F15=7,'Skill Index'!A15,"")</f>
        <v/>
      </c>
      <c r="M17" s="1" t="str">
        <f>IF('Skill Index'!F15=6,'Skill Index'!A15,"")</f>
        <v/>
      </c>
      <c r="N17" s="1" t="str">
        <f>IF('Skill Index'!F15&lt;6,'Skill Index'!A15,"")</f>
        <v/>
      </c>
    </row>
    <row r="18" spans="1:14" x14ac:dyDescent="0.35">
      <c r="A18" s="1" t="str">
        <f>IF('Skill Index'!E16=10,'Skill Index'!A16,"")</f>
        <v/>
      </c>
      <c r="B18" s="1" t="str">
        <f>IF('Skill Index'!E16=9,'Skill Index'!A16,"")</f>
        <v/>
      </c>
      <c r="C18" s="1" t="str">
        <f>IF('Skill Index'!E16=8,'Skill Index'!A16,"")</f>
        <v>Sagar Sable</v>
      </c>
      <c r="D18" s="1" t="str">
        <f>IF('Skill Index'!E16=7,'Skill Index'!A16,"")</f>
        <v/>
      </c>
      <c r="E18" s="1" t="str">
        <f>IF('Skill Index'!E16=6,'Skill Index'!A16,"")</f>
        <v/>
      </c>
      <c r="F18" s="1" t="str">
        <f>IF('Skill Index'!E16&lt;6,'Skill Index'!A16,"")</f>
        <v/>
      </c>
      <c r="I18" s="1" t="str">
        <f>IF('Skill Index'!F16=10,'Skill Index'!A16,"")</f>
        <v/>
      </c>
      <c r="J18" s="1" t="str">
        <f>IF('Skill Index'!F16=9,'Skill Index'!A16,"")</f>
        <v/>
      </c>
      <c r="K18" s="1" t="str">
        <f>IF('Skill Index'!F16=8,'Skill Index'!A16,"")</f>
        <v>Sagar Sable</v>
      </c>
      <c r="L18" s="1" t="str">
        <f>IF('Skill Index'!F16=7,'Skill Index'!A16,"")</f>
        <v/>
      </c>
      <c r="M18" s="1" t="str">
        <f>IF('Skill Index'!F16=6,'Skill Index'!A16,"")</f>
        <v/>
      </c>
      <c r="N18" s="1" t="str">
        <f>IF('Skill Index'!F16&lt;6,'Skill Index'!A16,"")</f>
        <v/>
      </c>
    </row>
    <row r="19" spans="1:14" x14ac:dyDescent="0.35">
      <c r="A19" s="1" t="str">
        <f>IF('Skill Index'!E17=10,'Skill Index'!A17,"")</f>
        <v/>
      </c>
      <c r="B19" s="1" t="str">
        <f>IF('Skill Index'!E17=9,'Skill Index'!A17,"")</f>
        <v/>
      </c>
      <c r="C19" s="1" t="str">
        <f>IF('Skill Index'!E17=8,'Skill Index'!A17,"")</f>
        <v/>
      </c>
      <c r="D19" s="1" t="str">
        <f>IF('Skill Index'!E17=7,'Skill Index'!A17,"")</f>
        <v>Shreya Ramprakash</v>
      </c>
      <c r="E19" s="1" t="str">
        <f>IF('Skill Index'!E17=6,'Skill Index'!A17,"")</f>
        <v/>
      </c>
      <c r="F19" s="1" t="str">
        <f>IF('Skill Index'!E17&lt;6,'Skill Index'!A17,"")</f>
        <v/>
      </c>
      <c r="I19" s="1" t="str">
        <f>IF('Skill Index'!F17=10,'Skill Index'!A17,"")</f>
        <v/>
      </c>
      <c r="J19" s="1" t="str">
        <f>IF('Skill Index'!F17=9,'Skill Index'!A17,"")</f>
        <v/>
      </c>
      <c r="K19" s="1" t="str">
        <f>IF('Skill Index'!F17=8,'Skill Index'!A17,"")</f>
        <v/>
      </c>
      <c r="L19" s="1" t="str">
        <f>IF('Skill Index'!F17=7,'Skill Index'!A17,"")</f>
        <v>Shreya Ramprakash</v>
      </c>
      <c r="M19" s="1" t="str">
        <f>IF('Skill Index'!F17=6,'Skill Index'!A17,"")</f>
        <v/>
      </c>
      <c r="N19" s="1" t="str">
        <f>IF('Skill Index'!F17&lt;6,'Skill Index'!A17,"")</f>
        <v/>
      </c>
    </row>
    <row r="20" spans="1:14" x14ac:dyDescent="0.35">
      <c r="A20" s="1" t="str">
        <f>IF('Skill Index'!E18=10,'Skill Index'!A18,"")</f>
        <v/>
      </c>
      <c r="B20" s="1" t="str">
        <f>IF('Skill Index'!E18=9,'Skill Index'!A18,"")</f>
        <v/>
      </c>
      <c r="C20" s="1" t="str">
        <f>IF('Skill Index'!E18=8,'Skill Index'!A18,"")</f>
        <v>Shreyas Risodkar</v>
      </c>
      <c r="D20" s="1" t="str">
        <f>IF('Skill Index'!E18=7,'Skill Index'!A18,"")</f>
        <v/>
      </c>
      <c r="E20" s="1" t="str">
        <f>IF('Skill Index'!E18=6,'Skill Index'!A18,"")</f>
        <v/>
      </c>
      <c r="F20" s="1" t="str">
        <f>IF('Skill Index'!E18&lt;6,'Skill Index'!A18,"")</f>
        <v/>
      </c>
      <c r="I20" s="1" t="str">
        <f>IF('Skill Index'!F18=10,'Skill Index'!A18,"")</f>
        <v/>
      </c>
      <c r="J20" s="1" t="str">
        <f>IF('Skill Index'!F18=9,'Skill Index'!A18,"")</f>
        <v/>
      </c>
      <c r="K20" s="1" t="str">
        <f>IF('Skill Index'!F18=8,'Skill Index'!A18,"")</f>
        <v>Shreyas Risodkar</v>
      </c>
      <c r="L20" s="1" t="str">
        <f>IF('Skill Index'!F18=7,'Skill Index'!A18,"")</f>
        <v/>
      </c>
      <c r="M20" s="1" t="str">
        <f>IF('Skill Index'!F18=6,'Skill Index'!A18,"")</f>
        <v/>
      </c>
      <c r="N20" s="1" t="str">
        <f>IF('Skill Index'!F18&lt;6,'Skill Index'!A18,"")</f>
        <v/>
      </c>
    </row>
    <row r="21" spans="1:14" x14ac:dyDescent="0.35">
      <c r="A21" s="1" t="str">
        <f>IF('Skill Index'!E19=10,'Skill Index'!A19,"")</f>
        <v/>
      </c>
      <c r="B21" s="1" t="str">
        <f>IF('Skill Index'!E19=9,'Skill Index'!A19,"")</f>
        <v/>
      </c>
      <c r="C21" s="1" t="str">
        <f>IF('Skill Index'!E19=8,'Skill Index'!A19,"")</f>
        <v>Srikirti Raj</v>
      </c>
      <c r="D21" s="1" t="str">
        <f>IF('Skill Index'!E19=7,'Skill Index'!A19,"")</f>
        <v/>
      </c>
      <c r="E21" s="1" t="str">
        <f>IF('Skill Index'!E19=6,'Skill Index'!A19,"")</f>
        <v/>
      </c>
      <c r="F21" s="1" t="str">
        <f>IF('Skill Index'!E19&lt;6,'Skill Index'!A19,"")</f>
        <v/>
      </c>
      <c r="I21" s="1" t="str">
        <f>IF('Skill Index'!F19=10,'Skill Index'!A19,"")</f>
        <v/>
      </c>
      <c r="J21" s="1" t="str">
        <f>IF('Skill Index'!F19=9,'Skill Index'!A19,"")</f>
        <v/>
      </c>
      <c r="K21" s="1" t="str">
        <f>IF('Skill Index'!F19=8,'Skill Index'!A19,"")</f>
        <v>Srikirti Raj</v>
      </c>
      <c r="L21" s="1" t="str">
        <f>IF('Skill Index'!F19=7,'Skill Index'!A19,"")</f>
        <v/>
      </c>
      <c r="M21" s="1" t="str">
        <f>IF('Skill Index'!F19=6,'Skill Index'!A19,"")</f>
        <v/>
      </c>
      <c r="N21" s="1" t="str">
        <f>IF('Skill Index'!F19&lt;6,'Skill Index'!A19,"")</f>
        <v/>
      </c>
    </row>
    <row r="22" spans="1:14" x14ac:dyDescent="0.35">
      <c r="A22" s="1" t="str">
        <f>IF('Skill Index'!E20=10,'Skill Index'!A20,"")</f>
        <v/>
      </c>
      <c r="B22" s="1" t="str">
        <f>IF('Skill Index'!E20=9,'Skill Index'!A20,"")</f>
        <v/>
      </c>
      <c r="C22" s="1" t="str">
        <f>IF('Skill Index'!E20=8,'Skill Index'!A20,"")</f>
        <v/>
      </c>
      <c r="D22" s="1" t="str">
        <f>IF('Skill Index'!E20=7,'Skill Index'!A20,"")</f>
        <v>Swetha KJ</v>
      </c>
      <c r="E22" s="1" t="str">
        <f>IF('Skill Index'!E20=6,'Skill Index'!A20,"")</f>
        <v/>
      </c>
      <c r="F22" s="1" t="str">
        <f>IF('Skill Index'!E20&lt;6,'Skill Index'!A20,"")</f>
        <v/>
      </c>
      <c r="I22" s="1" t="str">
        <f>IF('Skill Index'!F20=10,'Skill Index'!A20,"")</f>
        <v/>
      </c>
      <c r="J22" s="1" t="str">
        <f>IF('Skill Index'!F20=9,'Skill Index'!A20,"")</f>
        <v/>
      </c>
      <c r="K22" s="1" t="str">
        <f>IF('Skill Index'!F20=8,'Skill Index'!A20,"")</f>
        <v/>
      </c>
      <c r="L22" s="1" t="str">
        <f>IF('Skill Index'!F20=7,'Skill Index'!A20,"")</f>
        <v>Swetha KJ</v>
      </c>
      <c r="M22" s="1" t="str">
        <f>IF('Skill Index'!F20=6,'Skill Index'!A20,"")</f>
        <v/>
      </c>
      <c r="N22" s="1" t="str">
        <f>IF('Skill Index'!F20&lt;6,'Skill Index'!A20,"")</f>
        <v/>
      </c>
    </row>
  </sheetData>
  <mergeCells count="2">
    <mergeCell ref="I1:N2"/>
    <mergeCell ref="A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1722-11A5-4686-A225-A9FD8186B276}">
  <sheetPr codeName="Sheet14"/>
  <dimension ref="A1:N22"/>
  <sheetViews>
    <sheetView topLeftCell="B1" workbookViewId="0">
      <selection activeCell="M11" sqref="M11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8.26953125" bestFit="1" customWidth="1"/>
    <col min="11" max="11" width="16.6328125" bestFit="1" customWidth="1"/>
    <col min="12" max="12" width="17.453125" bestFit="1" customWidth="1"/>
    <col min="13" max="13" width="13.36328125" bestFit="1" customWidth="1"/>
    <col min="14" max="14" width="16.81640625" bestFit="1" customWidth="1"/>
  </cols>
  <sheetData>
    <row r="1" spans="1:14" ht="14.5" customHeight="1" x14ac:dyDescent="0.35">
      <c r="A1" s="84" t="s">
        <v>246</v>
      </c>
      <c r="B1" s="84"/>
      <c r="C1" s="84"/>
      <c r="D1" s="84"/>
      <c r="E1" s="84"/>
      <c r="F1" s="84"/>
      <c r="I1" s="84" t="s">
        <v>289</v>
      </c>
      <c r="J1" s="84"/>
      <c r="K1" s="84"/>
      <c r="L1" s="84"/>
      <c r="M1" s="84"/>
      <c r="N1" s="84"/>
    </row>
    <row r="2" spans="1:14" ht="14.5" customHeight="1" x14ac:dyDescent="0.35">
      <c r="A2" s="84"/>
      <c r="B2" s="84"/>
      <c r="C2" s="84"/>
      <c r="D2" s="84"/>
      <c r="E2" s="84"/>
      <c r="F2" s="84"/>
      <c r="I2" s="84"/>
      <c r="J2" s="84"/>
      <c r="K2" s="84"/>
      <c r="L2" s="84"/>
      <c r="M2" s="84"/>
      <c r="N2" s="84"/>
    </row>
    <row r="5" spans="1:14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  <c r="I5" s="85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86" t="s">
        <v>286</v>
      </c>
    </row>
    <row r="6" spans="1:14" x14ac:dyDescent="0.35">
      <c r="A6" s="1" t="str">
        <f>IF('Skill Index'!G4=10,'Skill Index'!A4,"")</f>
        <v/>
      </c>
      <c r="B6" s="1" t="str">
        <f>IF('Skill Index'!G4=9,'Skill Index'!A4,"")</f>
        <v/>
      </c>
      <c r="C6" s="1" t="str">
        <f>IF('Skill Index'!G4=8,'Skill Index'!A4,"")</f>
        <v>Ankit Rajput</v>
      </c>
      <c r="D6" s="1" t="str">
        <f>IF('Skill Index'!G4=7,'Skill Index'!A4,"")</f>
        <v/>
      </c>
      <c r="E6" s="1" t="str">
        <f>IF('Skill Index'!G4=6,'Skill Index'!A4,"")</f>
        <v/>
      </c>
      <c r="F6" s="1" t="str">
        <f>IF('Skill Index'!G4&lt;6,'Skill Index'!A4,"")</f>
        <v/>
      </c>
      <c r="I6" s="1" t="str">
        <f>IF('Skill Index'!H4=10,'Skill Index'!A4,"")</f>
        <v/>
      </c>
      <c r="J6" s="1" t="str">
        <f>IF('Skill Index'!H4=9,'Skill Index'!A4,"")</f>
        <v/>
      </c>
      <c r="K6" s="1" t="str">
        <f>IF('Skill Index'!H4=8,'Skill Index'!A4,"")</f>
        <v/>
      </c>
      <c r="L6" s="1" t="str">
        <f>IF('Skill Index'!H4=7,'Skill Index'!A4,"")</f>
        <v/>
      </c>
      <c r="M6" s="1" t="str">
        <f>IF('Skill Index'!H4=6,'Skill Index'!A4,"")</f>
        <v>Ankit Rajput</v>
      </c>
      <c r="N6" s="1" t="str">
        <f>IF('Skill Index'!H4&lt;6,'Skill Index'!A4,"")</f>
        <v/>
      </c>
    </row>
    <row r="7" spans="1:14" x14ac:dyDescent="0.35">
      <c r="A7" s="1" t="str">
        <f>IF('Skill Index'!G5=10,'Skill Index'!A5,"")</f>
        <v/>
      </c>
      <c r="B7" s="1" t="str">
        <f>IF('Skill Index'!G5=9,'Skill Index'!A5,"")</f>
        <v/>
      </c>
      <c r="C7" s="1" t="str">
        <f>IF('Skill Index'!G5=8,'Skill Index'!A5,"")</f>
        <v/>
      </c>
      <c r="D7" s="1" t="str">
        <f>IF('Skill Index'!G5=7,'Skill Index'!A5,"")</f>
        <v>Anusha Gunda</v>
      </c>
      <c r="E7" s="1" t="str">
        <f>IF('Skill Index'!G5=6,'Skill Index'!A5,"")</f>
        <v/>
      </c>
      <c r="F7" s="1" t="str">
        <f>IF('Skill Index'!G5&lt;6,'Skill Index'!A5,"")</f>
        <v/>
      </c>
      <c r="I7" s="1" t="str">
        <f>IF('Skill Index'!H5=10,'Skill Index'!A5,"")</f>
        <v/>
      </c>
      <c r="J7" s="1" t="str">
        <f>IF('Skill Index'!H5=9,'Skill Index'!A5,"")</f>
        <v/>
      </c>
      <c r="K7" s="1" t="str">
        <f>IF('Skill Index'!H5=8,'Skill Index'!A5,"")</f>
        <v/>
      </c>
      <c r="L7" s="1" t="str">
        <f>IF('Skill Index'!H5=7,'Skill Index'!A5,"")</f>
        <v/>
      </c>
      <c r="M7" s="1" t="str">
        <f>IF('Skill Index'!H5=6,'Skill Index'!A5,"")</f>
        <v>Anusha Gunda</v>
      </c>
      <c r="N7" s="1" t="str">
        <f>IF('Skill Index'!H5&lt;6,'Skill Index'!A5,"")</f>
        <v/>
      </c>
    </row>
    <row r="8" spans="1:14" x14ac:dyDescent="0.35">
      <c r="A8" s="1" t="str">
        <f>IF('Skill Index'!G6=10,'Skill Index'!A6,"")</f>
        <v/>
      </c>
      <c r="B8" s="1" t="str">
        <f>IF('Skill Index'!G6=9,'Skill Index'!A6,"")</f>
        <v/>
      </c>
      <c r="C8" s="1" t="str">
        <f>IF('Skill Index'!G6=8,'Skill Index'!A6,"")</f>
        <v/>
      </c>
      <c r="D8" s="1" t="str">
        <f>IF('Skill Index'!G6=7,'Skill Index'!A6,"")</f>
        <v/>
      </c>
      <c r="E8" s="1" t="str">
        <f>IF('Skill Index'!G6=6,'Skill Index'!A6,"")</f>
        <v/>
      </c>
      <c r="F8" s="1" t="str">
        <f>IF('Skill Index'!G6&lt;6,'Skill Index'!A6,"")</f>
        <v>Arun Kumar</v>
      </c>
      <c r="I8" s="1" t="str">
        <f>IF('Skill Index'!H6=10,'Skill Index'!A6,"")</f>
        <v/>
      </c>
      <c r="J8" s="1" t="str">
        <f>IF('Skill Index'!H6=9,'Skill Index'!A6,"")</f>
        <v/>
      </c>
      <c r="K8" s="1" t="str">
        <f>IF('Skill Index'!H6=8,'Skill Index'!A6,"")</f>
        <v/>
      </c>
      <c r="L8" s="1" t="str">
        <f>IF('Skill Index'!H6=7,'Skill Index'!A6,"")</f>
        <v/>
      </c>
      <c r="M8" s="1" t="str">
        <f>IF('Skill Index'!H6=6,'Skill Index'!A6,"")</f>
        <v/>
      </c>
      <c r="N8" s="1" t="str">
        <f>IF('Skill Index'!H6&lt;6,'Skill Index'!A6,"")</f>
        <v>Arun Kumar</v>
      </c>
    </row>
    <row r="9" spans="1:14" x14ac:dyDescent="0.35">
      <c r="A9" s="1" t="str">
        <f>IF('Skill Index'!G7=10,'Skill Index'!A7,"")</f>
        <v/>
      </c>
      <c r="B9" s="1" t="str">
        <f>IF('Skill Index'!G7=9,'Skill Index'!A7,"")</f>
        <v/>
      </c>
      <c r="C9" s="1" t="str">
        <f>IF('Skill Index'!G7=8,'Skill Index'!A7,"")</f>
        <v>Ashraya H D</v>
      </c>
      <c r="D9" s="1" t="str">
        <f>IF('Skill Index'!G7=7,'Skill Index'!A7,"")</f>
        <v/>
      </c>
      <c r="E9" s="1" t="str">
        <f>IF('Skill Index'!G7=6,'Skill Index'!A7,"")</f>
        <v/>
      </c>
      <c r="F9" s="1" t="str">
        <f>IF('Skill Index'!G7&lt;6,'Skill Index'!A7,"")</f>
        <v/>
      </c>
      <c r="I9" s="1" t="str">
        <f>IF('Skill Index'!H7=10,'Skill Index'!A7,"")</f>
        <v/>
      </c>
      <c r="J9" s="1" t="str">
        <f>IF('Skill Index'!H7=9,'Skill Index'!A7,"")</f>
        <v/>
      </c>
      <c r="K9" s="1" t="str">
        <f>IF('Skill Index'!H7=8,'Skill Index'!A7,"")</f>
        <v>Ashraya H D</v>
      </c>
      <c r="L9" s="1" t="str">
        <f>IF('Skill Index'!H7=7,'Skill Index'!A7,"")</f>
        <v/>
      </c>
      <c r="M9" s="1" t="str">
        <f>IF('Skill Index'!H7=6,'Skill Index'!A7,"")</f>
        <v/>
      </c>
      <c r="N9" s="1" t="str">
        <f>IF('Skill Index'!H7&lt;6,'Skill Index'!A7,"")</f>
        <v/>
      </c>
    </row>
    <row r="10" spans="1:14" x14ac:dyDescent="0.35">
      <c r="A10" s="1" t="str">
        <f>IF('Skill Index'!G8=10,'Skill Index'!A8,"")</f>
        <v/>
      </c>
      <c r="B10" s="1" t="str">
        <f>IF('Skill Index'!G8=9,'Skill Index'!A8,"")</f>
        <v/>
      </c>
      <c r="C10" s="1" t="str">
        <f>IF('Skill Index'!G8=8,'Skill Index'!A8,"")</f>
        <v/>
      </c>
      <c r="D10" s="1" t="str">
        <f>IF('Skill Index'!G8=7,'Skill Index'!A8,"")</f>
        <v>Jeet Doshi</v>
      </c>
      <c r="E10" s="1" t="str">
        <f>IF('Skill Index'!G8=6,'Skill Index'!A8,"")</f>
        <v/>
      </c>
      <c r="F10" s="1" t="str">
        <f>IF('Skill Index'!G8&lt;6,'Skill Index'!A8,"")</f>
        <v/>
      </c>
      <c r="I10" s="1" t="str">
        <f>IF('Skill Index'!H8=10,'Skill Index'!A8,"")</f>
        <v/>
      </c>
      <c r="J10" s="1" t="str">
        <f>IF('Skill Index'!H8=9,'Skill Index'!A8,"")</f>
        <v/>
      </c>
      <c r="K10" s="1" t="str">
        <f>IF('Skill Index'!H8=8,'Skill Index'!A8,"")</f>
        <v/>
      </c>
      <c r="L10" s="1" t="str">
        <f>IF('Skill Index'!H8=7,'Skill Index'!A8,"")</f>
        <v>Jeet Doshi</v>
      </c>
      <c r="M10" s="1" t="str">
        <f>IF('Skill Index'!H8=6,'Skill Index'!A8,"")</f>
        <v/>
      </c>
      <c r="N10" s="1" t="str">
        <f>IF('Skill Index'!H8&lt;6,'Skill Index'!A8,"")</f>
        <v/>
      </c>
    </row>
    <row r="11" spans="1:14" x14ac:dyDescent="0.35">
      <c r="A11" s="1" t="str">
        <f>IF('Skill Index'!G9=10,'Skill Index'!A9,"")</f>
        <v/>
      </c>
      <c r="B11" s="1" t="str">
        <f>IF('Skill Index'!G9=9,'Skill Index'!A9,"")</f>
        <v/>
      </c>
      <c r="C11" s="1" t="str">
        <f>IF('Skill Index'!G9=8,'Skill Index'!A9,"")</f>
        <v/>
      </c>
      <c r="D11" s="1" t="str">
        <f>IF('Skill Index'!G9=7,'Skill Index'!A9,"")</f>
        <v>Mahesh Kumar</v>
      </c>
      <c r="E11" s="1" t="str">
        <f>IF('Skill Index'!G9=6,'Skill Index'!A9,"")</f>
        <v/>
      </c>
      <c r="F11" s="1" t="str">
        <f>IF('Skill Index'!G9&lt;6,'Skill Index'!A9,"")</f>
        <v/>
      </c>
      <c r="I11" s="1" t="str">
        <f>IF('Skill Index'!H9=10,'Skill Index'!A9,"")</f>
        <v/>
      </c>
      <c r="J11" s="1" t="str">
        <f>IF('Skill Index'!H9=9,'Skill Index'!A9,"")</f>
        <v/>
      </c>
      <c r="K11" s="1" t="str">
        <f>IF('Skill Index'!H9=8,'Skill Index'!A9,"")</f>
        <v/>
      </c>
      <c r="L11" s="1" t="str">
        <f>IF('Skill Index'!H9=7,'Skill Index'!A9,"")</f>
        <v>Mahesh Kumar</v>
      </c>
      <c r="M11" s="1" t="str">
        <f>IF('Skill Index'!H9=6,'Skill Index'!A9,"")</f>
        <v/>
      </c>
      <c r="N11" s="1" t="str">
        <f>IF('Skill Index'!H9&lt;6,'Skill Index'!A9,"")</f>
        <v/>
      </c>
    </row>
    <row r="12" spans="1:14" x14ac:dyDescent="0.35">
      <c r="A12" s="1" t="str">
        <f>IF('Skill Index'!G10=10,'Skill Index'!A10,"")</f>
        <v/>
      </c>
      <c r="B12" s="1" t="str">
        <f>IF('Skill Index'!G10=9,'Skill Index'!A10,"")</f>
        <v/>
      </c>
      <c r="C12" s="1" t="str">
        <f>IF('Skill Index'!G10=8,'Skill Index'!A10,"")</f>
        <v>Nilekha Repaka</v>
      </c>
      <c r="D12" s="1" t="str">
        <f>IF('Skill Index'!G10=7,'Skill Index'!A10,"")</f>
        <v/>
      </c>
      <c r="E12" s="1" t="str">
        <f>IF('Skill Index'!G10=6,'Skill Index'!A10,"")</f>
        <v/>
      </c>
      <c r="F12" s="1" t="str">
        <f>IF('Skill Index'!G10&lt;6,'Skill Index'!A10,"")</f>
        <v/>
      </c>
      <c r="I12" s="1" t="str">
        <f>IF('Skill Index'!H10=10,'Skill Index'!A10,"")</f>
        <v/>
      </c>
      <c r="J12" s="1" t="str">
        <f>IF('Skill Index'!H10=9,'Skill Index'!A10,"")</f>
        <v/>
      </c>
      <c r="K12" s="1" t="str">
        <f>IF('Skill Index'!H10=8,'Skill Index'!A10,"")</f>
        <v>Nilekha Repaka</v>
      </c>
      <c r="L12" s="1" t="str">
        <f>IF('Skill Index'!H10=7,'Skill Index'!A10,"")</f>
        <v/>
      </c>
      <c r="M12" s="1" t="str">
        <f>IF('Skill Index'!H10=6,'Skill Index'!A10,"")</f>
        <v/>
      </c>
      <c r="N12" s="1" t="str">
        <f>IF('Skill Index'!H10&lt;6,'Skill Index'!A10,"")</f>
        <v/>
      </c>
    </row>
    <row r="13" spans="1:14" x14ac:dyDescent="0.35">
      <c r="A13" s="1" t="str">
        <f>IF('Skill Index'!G11=10,'Skill Index'!A11,"")</f>
        <v/>
      </c>
      <c r="B13" s="1" t="str">
        <f>IF('Skill Index'!G11=9,'Skill Index'!A11,"")</f>
        <v/>
      </c>
      <c r="C13" s="1" t="str">
        <f>IF('Skill Index'!G11=8,'Skill Index'!A11,"")</f>
        <v>Pawan Rathore</v>
      </c>
      <c r="D13" s="1" t="str">
        <f>IF('Skill Index'!G11=7,'Skill Index'!A11,"")</f>
        <v/>
      </c>
      <c r="E13" s="1" t="str">
        <f>IF('Skill Index'!G11=6,'Skill Index'!A11,"")</f>
        <v/>
      </c>
      <c r="F13" s="1" t="str">
        <f>IF('Skill Index'!G11&lt;6,'Skill Index'!A11,"")</f>
        <v/>
      </c>
      <c r="I13" s="1" t="str">
        <f>IF('Skill Index'!H11=10,'Skill Index'!A11,"")</f>
        <v/>
      </c>
      <c r="J13" s="1" t="str">
        <f>IF('Skill Index'!H11=9,'Skill Index'!A11,"")</f>
        <v/>
      </c>
      <c r="K13" s="1" t="str">
        <f>IF('Skill Index'!H11=8,'Skill Index'!A11,"")</f>
        <v>Pawan Rathore</v>
      </c>
      <c r="L13" s="1" t="str">
        <f>IF('Skill Index'!H11=7,'Skill Index'!A11,"")</f>
        <v/>
      </c>
      <c r="M13" s="1" t="str">
        <f>IF('Skill Index'!H11=6,'Skill Index'!A11,"")</f>
        <v/>
      </c>
      <c r="N13" s="1" t="str">
        <f>IF('Skill Index'!H11&lt;6,'Skill Index'!A11,"")</f>
        <v/>
      </c>
    </row>
    <row r="14" spans="1:14" x14ac:dyDescent="0.35">
      <c r="A14" s="1" t="str">
        <f>IF('Skill Index'!G12=10,'Skill Index'!A12,"")</f>
        <v/>
      </c>
      <c r="B14" s="1" t="str">
        <f>IF('Skill Index'!G12=9,'Skill Index'!A12,"")</f>
        <v/>
      </c>
      <c r="C14" s="1" t="str">
        <f>IF('Skill Index'!G12=8,'Skill Index'!A12,"")</f>
        <v>Priyesh Tiwari</v>
      </c>
      <c r="D14" s="1" t="str">
        <f>IF('Skill Index'!G12=7,'Skill Index'!A12,"")</f>
        <v/>
      </c>
      <c r="E14" s="1" t="str">
        <f>IF('Skill Index'!G12=6,'Skill Index'!A12,"")</f>
        <v/>
      </c>
      <c r="F14" s="1" t="str">
        <f>IF('Skill Index'!G12&lt;6,'Skill Index'!A12,"")</f>
        <v/>
      </c>
      <c r="I14" s="1" t="str">
        <f>IF('Skill Index'!H12=10,'Skill Index'!A12,"")</f>
        <v/>
      </c>
      <c r="J14" s="1" t="str">
        <f>IF('Skill Index'!H12=9,'Skill Index'!A12,"")</f>
        <v/>
      </c>
      <c r="K14" s="1" t="str">
        <f>IF('Skill Index'!H12=8,'Skill Index'!A12,"")</f>
        <v>Priyesh Tiwari</v>
      </c>
      <c r="L14" s="1" t="str">
        <f>IF('Skill Index'!H12=7,'Skill Index'!A12,"")</f>
        <v/>
      </c>
      <c r="M14" s="1" t="str">
        <f>IF('Skill Index'!H12=6,'Skill Index'!A12,"")</f>
        <v/>
      </c>
      <c r="N14" s="1" t="str">
        <f>IF('Skill Index'!H12&lt;6,'Skill Index'!A12,"")</f>
        <v/>
      </c>
    </row>
    <row r="15" spans="1:14" x14ac:dyDescent="0.35">
      <c r="A15" s="1" t="str">
        <f>IF('Skill Index'!G13=10,'Skill Index'!A13,"")</f>
        <v/>
      </c>
      <c r="B15" s="1" t="str">
        <f>IF('Skill Index'!G13=9,'Skill Index'!A13,"")</f>
        <v/>
      </c>
      <c r="C15" s="1" t="str">
        <f>IF('Skill Index'!G13=8,'Skill Index'!A13,"")</f>
        <v>Rahul Kumar</v>
      </c>
      <c r="D15" s="1" t="str">
        <f>IF('Skill Index'!G13=7,'Skill Index'!A13,"")</f>
        <v/>
      </c>
      <c r="E15" s="1" t="str">
        <f>IF('Skill Index'!G13=6,'Skill Index'!A13,"")</f>
        <v/>
      </c>
      <c r="F15" s="1" t="str">
        <f>IF('Skill Index'!G13&lt;6,'Skill Index'!A13,"")</f>
        <v/>
      </c>
      <c r="I15" s="1" t="str">
        <f>IF('Skill Index'!H13=10,'Skill Index'!A13,"")</f>
        <v/>
      </c>
      <c r="J15" s="1" t="str">
        <f>IF('Skill Index'!H13=9,'Skill Index'!A13,"")</f>
        <v/>
      </c>
      <c r="K15" s="1" t="str">
        <f>IF('Skill Index'!H13=8,'Skill Index'!A13,"")</f>
        <v>Rahul Kumar</v>
      </c>
      <c r="L15" s="1" t="str">
        <f>IF('Skill Index'!H13=7,'Skill Index'!A13,"")</f>
        <v/>
      </c>
      <c r="M15" s="1" t="str">
        <f>IF('Skill Index'!H13=6,'Skill Index'!A13,"")</f>
        <v/>
      </c>
      <c r="N15" s="1" t="str">
        <f>IF('Skill Index'!H13&lt;6,'Skill Index'!A13,"")</f>
        <v/>
      </c>
    </row>
    <row r="16" spans="1:14" x14ac:dyDescent="0.35">
      <c r="A16" s="1" t="str">
        <f>IF('Skill Index'!G14=10,'Skill Index'!A14,"")</f>
        <v/>
      </c>
      <c r="B16" s="1" t="str">
        <f>IF('Skill Index'!G14=9,'Skill Index'!A14,"")</f>
        <v/>
      </c>
      <c r="C16" s="1" t="str">
        <f>IF('Skill Index'!G14=8,'Skill Index'!A14,"")</f>
        <v>Ramkrishna Kadiya</v>
      </c>
      <c r="D16" s="1" t="str">
        <f>IF('Skill Index'!G14=7,'Skill Index'!A14,"")</f>
        <v/>
      </c>
      <c r="E16" s="1" t="str">
        <f>IF('Skill Index'!G14=6,'Skill Index'!A14,"")</f>
        <v/>
      </c>
      <c r="F16" s="1" t="str">
        <f>IF('Skill Index'!G14&lt;6,'Skill Index'!A14,"")</f>
        <v/>
      </c>
      <c r="I16" s="1" t="str">
        <f>IF('Skill Index'!H14=10,'Skill Index'!A14,"")</f>
        <v/>
      </c>
      <c r="J16" s="1" t="str">
        <f>IF('Skill Index'!H14=9,'Skill Index'!A14,"")</f>
        <v/>
      </c>
      <c r="K16" s="1" t="str">
        <f>IF('Skill Index'!H14=8,'Skill Index'!A14,"")</f>
        <v>Ramkrishna Kadiya</v>
      </c>
      <c r="L16" s="1" t="str">
        <f>IF('Skill Index'!H14=7,'Skill Index'!A14,"")</f>
        <v/>
      </c>
      <c r="M16" s="1" t="str">
        <f>IF('Skill Index'!H14=6,'Skill Index'!A14,"")</f>
        <v/>
      </c>
      <c r="N16" s="1" t="str">
        <f>IF('Skill Index'!H14&lt;6,'Skill Index'!A14,"")</f>
        <v/>
      </c>
    </row>
    <row r="17" spans="1:14" x14ac:dyDescent="0.35">
      <c r="A17" s="1" t="str">
        <f>IF('Skill Index'!G15=10,'Skill Index'!A15,"")</f>
        <v/>
      </c>
      <c r="B17" s="1" t="str">
        <f>IF('Skill Index'!G15=9,'Skill Index'!A15,"")</f>
        <v/>
      </c>
      <c r="C17" s="1" t="str">
        <f>IF('Skill Index'!G15=8,'Skill Index'!A15,"")</f>
        <v>Revanth Anguluri</v>
      </c>
      <c r="D17" s="1" t="str">
        <f>IF('Skill Index'!G15=7,'Skill Index'!A15,"")</f>
        <v/>
      </c>
      <c r="E17" s="1" t="str">
        <f>IF('Skill Index'!G15=6,'Skill Index'!A15,"")</f>
        <v/>
      </c>
      <c r="F17" s="1" t="str">
        <f>IF('Skill Index'!G15&lt;6,'Skill Index'!A15,"")</f>
        <v/>
      </c>
      <c r="I17" s="1" t="str">
        <f>IF('Skill Index'!H15=10,'Skill Index'!A15,"")</f>
        <v/>
      </c>
      <c r="J17" s="1" t="str">
        <f>IF('Skill Index'!H15=9,'Skill Index'!A15,"")</f>
        <v/>
      </c>
      <c r="K17" s="1" t="str">
        <f>IF('Skill Index'!H15=8,'Skill Index'!A15,"")</f>
        <v>Revanth Anguluri</v>
      </c>
      <c r="L17" s="1" t="str">
        <f>IF('Skill Index'!H15=7,'Skill Index'!A15,"")</f>
        <v/>
      </c>
      <c r="M17" s="1" t="str">
        <f>IF('Skill Index'!H15=6,'Skill Index'!A15,"")</f>
        <v/>
      </c>
      <c r="N17" s="1" t="str">
        <f>IF('Skill Index'!H15&lt;6,'Skill Index'!A15,"")</f>
        <v/>
      </c>
    </row>
    <row r="18" spans="1:14" x14ac:dyDescent="0.35">
      <c r="A18" s="1" t="str">
        <f>IF('Skill Index'!G16=10,'Skill Index'!A16,"")</f>
        <v/>
      </c>
      <c r="B18" s="1" t="str">
        <f>IF('Skill Index'!G16=9,'Skill Index'!A16,"")</f>
        <v/>
      </c>
      <c r="C18" s="1" t="str">
        <f>IF('Skill Index'!G16=8,'Skill Index'!A16,"")</f>
        <v>Sagar Sable</v>
      </c>
      <c r="D18" s="1" t="str">
        <f>IF('Skill Index'!G16=7,'Skill Index'!A16,"")</f>
        <v/>
      </c>
      <c r="E18" s="1" t="str">
        <f>IF('Skill Index'!G16=6,'Skill Index'!A16,"")</f>
        <v/>
      </c>
      <c r="F18" s="1" t="str">
        <f>IF('Skill Index'!G16&lt;6,'Skill Index'!A16,"")</f>
        <v/>
      </c>
      <c r="I18" s="1" t="str">
        <f>IF('Skill Index'!H16=10,'Skill Index'!A16,"")</f>
        <v/>
      </c>
      <c r="J18" s="1" t="str">
        <f>IF('Skill Index'!H16=9,'Skill Index'!A16,"")</f>
        <v/>
      </c>
      <c r="K18" s="1" t="str">
        <f>IF('Skill Index'!H16=8,'Skill Index'!A16,"")</f>
        <v>Sagar Sable</v>
      </c>
      <c r="L18" s="1" t="str">
        <f>IF('Skill Index'!H16=7,'Skill Index'!A16,"")</f>
        <v/>
      </c>
      <c r="M18" s="1" t="str">
        <f>IF('Skill Index'!H16=6,'Skill Index'!A16,"")</f>
        <v/>
      </c>
      <c r="N18" s="1" t="str">
        <f>IF('Skill Index'!H16&lt;6,'Skill Index'!A16,"")</f>
        <v/>
      </c>
    </row>
    <row r="19" spans="1:14" x14ac:dyDescent="0.35">
      <c r="A19" s="1" t="str">
        <f>IF('Skill Index'!G17=10,'Skill Index'!A17,"")</f>
        <v/>
      </c>
      <c r="B19" s="1" t="str">
        <f>IF('Skill Index'!G17=9,'Skill Index'!A17,"")</f>
        <v/>
      </c>
      <c r="C19" s="1" t="str">
        <f>IF('Skill Index'!G17=8,'Skill Index'!A17,"")</f>
        <v>Shreya Ramprakash</v>
      </c>
      <c r="D19" s="1" t="str">
        <f>IF('Skill Index'!G17=7,'Skill Index'!A17,"")</f>
        <v/>
      </c>
      <c r="E19" s="1" t="str">
        <f>IF('Skill Index'!G17=6,'Skill Index'!A17,"")</f>
        <v/>
      </c>
      <c r="F19" s="1" t="str">
        <f>IF('Skill Index'!G17&lt;6,'Skill Index'!A17,"")</f>
        <v/>
      </c>
      <c r="I19" s="1" t="str">
        <f>IF('Skill Index'!H17=10,'Skill Index'!A17,"")</f>
        <v/>
      </c>
      <c r="J19" s="1" t="str">
        <f>IF('Skill Index'!H17=9,'Skill Index'!A17,"")</f>
        <v/>
      </c>
      <c r="K19" s="1" t="str">
        <f>IF('Skill Index'!H17=8,'Skill Index'!A17,"")</f>
        <v>Shreya Ramprakash</v>
      </c>
      <c r="L19" s="1" t="str">
        <f>IF('Skill Index'!H17=7,'Skill Index'!A17,"")</f>
        <v/>
      </c>
      <c r="M19" s="1" t="str">
        <f>IF('Skill Index'!H17=6,'Skill Index'!A17,"")</f>
        <v/>
      </c>
      <c r="N19" s="1" t="str">
        <f>IF('Skill Index'!H17&lt;6,'Skill Index'!A17,"")</f>
        <v/>
      </c>
    </row>
    <row r="20" spans="1:14" x14ac:dyDescent="0.35">
      <c r="A20" s="1" t="str">
        <f>IF('Skill Index'!G18=10,'Skill Index'!A18,"")</f>
        <v/>
      </c>
      <c r="B20" s="1" t="str">
        <f>IF('Skill Index'!G18=9,'Skill Index'!A18,"")</f>
        <v/>
      </c>
      <c r="C20" s="1" t="str">
        <f>IF('Skill Index'!G18=8,'Skill Index'!A18,"")</f>
        <v>Shreyas Risodkar</v>
      </c>
      <c r="D20" s="1" t="str">
        <f>IF('Skill Index'!G18=7,'Skill Index'!A18,"")</f>
        <v/>
      </c>
      <c r="E20" s="1" t="str">
        <f>IF('Skill Index'!G18=6,'Skill Index'!A18,"")</f>
        <v/>
      </c>
      <c r="F20" s="1" t="str">
        <f>IF('Skill Index'!G18&lt;6,'Skill Index'!A18,"")</f>
        <v/>
      </c>
      <c r="I20" s="1" t="str">
        <f>IF('Skill Index'!H18=10,'Skill Index'!A18,"")</f>
        <v/>
      </c>
      <c r="J20" s="1" t="str">
        <f>IF('Skill Index'!H18=9,'Skill Index'!A18,"")</f>
        <v/>
      </c>
      <c r="K20" s="1" t="str">
        <f>IF('Skill Index'!H18=8,'Skill Index'!A18,"")</f>
        <v/>
      </c>
      <c r="L20" s="1" t="str">
        <f>IF('Skill Index'!H18=7,'Skill Index'!A18,"")</f>
        <v>Shreyas Risodkar</v>
      </c>
      <c r="M20" s="1" t="str">
        <f>IF('Skill Index'!H18=6,'Skill Index'!A18,"")</f>
        <v/>
      </c>
      <c r="N20" s="1" t="str">
        <f>IF('Skill Index'!H18&lt;6,'Skill Index'!A18,"")</f>
        <v/>
      </c>
    </row>
    <row r="21" spans="1:14" x14ac:dyDescent="0.35">
      <c r="A21" s="1" t="str">
        <f>IF('Skill Index'!G19=10,'Skill Index'!A19,"")</f>
        <v/>
      </c>
      <c r="B21" s="1" t="str">
        <f>IF('Skill Index'!G19=9,'Skill Index'!A19,"")</f>
        <v/>
      </c>
      <c r="C21" s="1" t="str">
        <f>IF('Skill Index'!G19=8,'Skill Index'!A19,"")</f>
        <v>Srikirti Raj</v>
      </c>
      <c r="D21" s="1" t="str">
        <f>IF('Skill Index'!G19=7,'Skill Index'!A19,"")</f>
        <v/>
      </c>
      <c r="E21" s="1" t="str">
        <f>IF('Skill Index'!G19=6,'Skill Index'!A19,"")</f>
        <v/>
      </c>
      <c r="F21" s="1" t="str">
        <f>IF('Skill Index'!G19&lt;6,'Skill Index'!A19,"")</f>
        <v/>
      </c>
      <c r="I21" s="1" t="str">
        <f>IF('Skill Index'!H19=10,'Skill Index'!A19,"")</f>
        <v/>
      </c>
      <c r="J21" s="1" t="str">
        <f>IF('Skill Index'!H19=9,'Skill Index'!A19,"")</f>
        <v/>
      </c>
      <c r="K21" s="1" t="str">
        <f>IF('Skill Index'!H19=8,'Skill Index'!A19,"")</f>
        <v/>
      </c>
      <c r="L21" s="1" t="str">
        <f>IF('Skill Index'!H19=7,'Skill Index'!A19,"")</f>
        <v>Srikirti Raj</v>
      </c>
      <c r="M21" s="1" t="str">
        <f>IF('Skill Index'!H19=6,'Skill Index'!A19,"")</f>
        <v/>
      </c>
      <c r="N21" s="1" t="str">
        <f>IF('Skill Index'!H19&lt;6,'Skill Index'!A19,"")</f>
        <v/>
      </c>
    </row>
    <row r="22" spans="1:14" x14ac:dyDescent="0.35">
      <c r="A22" s="1" t="str">
        <f>IF('Skill Index'!G20=10,'Skill Index'!A20,"")</f>
        <v/>
      </c>
      <c r="B22" s="1" t="str">
        <f>IF('Skill Index'!G20=9,'Skill Index'!A20,"")</f>
        <v/>
      </c>
      <c r="C22" s="1" t="str">
        <f>IF('Skill Index'!G20=8,'Skill Index'!A20,"")</f>
        <v/>
      </c>
      <c r="D22" s="1" t="str">
        <f>IF('Skill Index'!G20=7,'Skill Index'!A20,"")</f>
        <v>Swetha KJ</v>
      </c>
      <c r="E22" s="1" t="str">
        <f>IF('Skill Index'!G20=6,'Skill Index'!A20,"")</f>
        <v/>
      </c>
      <c r="F22" s="1" t="str">
        <f>IF('Skill Index'!G20&lt;6,'Skill Index'!A20,"")</f>
        <v/>
      </c>
      <c r="I22" s="1" t="str">
        <f>IF('Skill Index'!H20=10,'Skill Index'!A20,"")</f>
        <v/>
      </c>
      <c r="J22" s="1" t="str">
        <f>IF('Skill Index'!H20=9,'Skill Index'!A20,"")</f>
        <v/>
      </c>
      <c r="K22" s="1" t="str">
        <f>IF('Skill Index'!H20=8,'Skill Index'!A20,"")</f>
        <v>Swetha KJ</v>
      </c>
      <c r="L22" s="1" t="str">
        <f>IF('Skill Index'!H20=7,'Skill Index'!A20,"")</f>
        <v/>
      </c>
      <c r="M22" s="1" t="str">
        <f>IF('Skill Index'!H20=6,'Skill Index'!A20,"")</f>
        <v/>
      </c>
      <c r="N22" s="1" t="str">
        <f>IF('Skill Index'!H20&lt;6,'Skill Index'!A20,"")</f>
        <v/>
      </c>
    </row>
  </sheetData>
  <mergeCells count="2">
    <mergeCell ref="A1:F2"/>
    <mergeCell ref="I1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1974-8E60-4D4B-A354-563A41F86197}">
  <sheetPr codeName="Sheet15"/>
  <dimension ref="A1:AD22"/>
  <sheetViews>
    <sheetView topLeftCell="S1" workbookViewId="0">
      <selection activeCell="AA12" sqref="AA12"/>
    </sheetView>
  </sheetViews>
  <sheetFormatPr defaultRowHeight="14.5" x14ac:dyDescent="0.35"/>
  <cols>
    <col min="1" max="1" width="13.1796875" customWidth="1"/>
    <col min="2" max="2" width="17.453125" bestFit="1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12.36328125" bestFit="1" customWidth="1"/>
    <col min="11" max="11" width="13.6328125" bestFit="1" customWidth="1"/>
    <col min="12" max="12" width="11" bestFit="1" customWidth="1"/>
    <col min="13" max="13" width="13.36328125" bestFit="1" customWidth="1"/>
    <col min="14" max="14" width="20.1796875" customWidth="1"/>
    <col min="17" max="17" width="17.453125" bestFit="1" customWidth="1"/>
    <col min="19" max="19" width="13.6328125" bestFit="1" customWidth="1"/>
    <col min="20" max="20" width="15.1796875" bestFit="1" customWidth="1"/>
    <col min="21" max="21" width="13.36328125" bestFit="1" customWidth="1"/>
    <col min="22" max="22" width="16.81640625" bestFit="1" customWidth="1"/>
    <col min="26" max="26" width="8.26953125" bestFit="1" customWidth="1"/>
    <col min="27" max="27" width="16.6328125" bestFit="1" customWidth="1"/>
    <col min="28" max="28" width="17.453125" bestFit="1" customWidth="1"/>
    <col min="29" max="29" width="13.36328125" bestFit="1" customWidth="1"/>
    <col min="30" max="30" width="16.81640625" bestFit="1" customWidth="1"/>
  </cols>
  <sheetData>
    <row r="1" spans="1:30" ht="14.5" customHeight="1" x14ac:dyDescent="0.35">
      <c r="A1" s="87" t="s">
        <v>291</v>
      </c>
      <c r="B1" s="88"/>
      <c r="C1" s="88"/>
      <c r="D1" s="88"/>
      <c r="E1" s="88"/>
      <c r="F1" s="89"/>
      <c r="I1" s="87" t="s">
        <v>266</v>
      </c>
      <c r="J1" s="88"/>
      <c r="K1" s="88"/>
      <c r="L1" s="88"/>
      <c r="M1" s="88"/>
      <c r="N1" s="89"/>
      <c r="Q1" s="108" t="s">
        <v>292</v>
      </c>
      <c r="R1" s="103"/>
      <c r="S1" s="103"/>
      <c r="T1" s="103"/>
      <c r="U1" s="103"/>
      <c r="V1" s="104"/>
      <c r="Y1" s="87" t="s">
        <v>290</v>
      </c>
      <c r="Z1" s="88"/>
      <c r="AA1" s="88"/>
      <c r="AB1" s="88"/>
      <c r="AC1" s="88"/>
      <c r="AD1" s="89"/>
    </row>
    <row r="2" spans="1:30" ht="14.5" customHeight="1" x14ac:dyDescent="0.35">
      <c r="A2" s="90"/>
      <c r="B2" s="91"/>
      <c r="C2" s="91"/>
      <c r="D2" s="91"/>
      <c r="E2" s="91"/>
      <c r="F2" s="92"/>
      <c r="I2" s="90"/>
      <c r="J2" s="91"/>
      <c r="K2" s="91"/>
      <c r="L2" s="91"/>
      <c r="M2" s="91"/>
      <c r="N2" s="92"/>
      <c r="Q2" s="105"/>
      <c r="R2" s="106"/>
      <c r="S2" s="106"/>
      <c r="T2" s="106"/>
      <c r="U2" s="106"/>
      <c r="V2" s="107"/>
      <c r="Y2" s="90"/>
      <c r="Z2" s="91"/>
      <c r="AA2" s="91"/>
      <c r="AB2" s="91"/>
      <c r="AC2" s="91"/>
      <c r="AD2" s="92"/>
    </row>
    <row r="3" spans="1:30" x14ac:dyDescent="0.35">
      <c r="A3" s="93"/>
      <c r="B3" s="94"/>
      <c r="C3" s="94"/>
      <c r="D3" s="94"/>
      <c r="E3" s="94"/>
      <c r="F3" s="95"/>
      <c r="I3" s="93"/>
      <c r="J3" s="94"/>
      <c r="K3" s="94"/>
      <c r="L3" s="94"/>
      <c r="M3" s="94"/>
      <c r="N3" s="95"/>
      <c r="Q3" s="93"/>
      <c r="R3" s="94"/>
      <c r="S3" s="94"/>
      <c r="T3" s="94"/>
      <c r="U3" s="94"/>
      <c r="V3" s="95"/>
      <c r="Y3" s="93"/>
      <c r="Z3" s="94"/>
      <c r="AA3" s="94"/>
      <c r="AB3" s="94"/>
      <c r="AC3" s="94"/>
      <c r="AD3" s="95"/>
    </row>
    <row r="4" spans="1:30" x14ac:dyDescent="0.35">
      <c r="A4" s="93"/>
      <c r="B4" s="94"/>
      <c r="C4" s="94"/>
      <c r="D4" s="94"/>
      <c r="E4" s="94"/>
      <c r="F4" s="95"/>
      <c r="I4" s="93"/>
      <c r="J4" s="94"/>
      <c r="K4" s="94"/>
      <c r="L4" s="94"/>
      <c r="M4" s="94"/>
      <c r="N4" s="95"/>
      <c r="Q4" s="93"/>
      <c r="R4" s="94"/>
      <c r="S4" s="94"/>
      <c r="T4" s="94"/>
      <c r="U4" s="94"/>
      <c r="V4" s="95"/>
      <c r="Y4" s="93"/>
      <c r="Z4" s="94"/>
      <c r="AA4" s="94"/>
      <c r="AB4" s="94"/>
      <c r="AC4" s="94"/>
      <c r="AD4" s="95"/>
    </row>
    <row r="5" spans="1:30" x14ac:dyDescent="0.35">
      <c r="A5" s="96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97" t="s">
        <v>286</v>
      </c>
      <c r="I5" s="96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97" t="s">
        <v>286</v>
      </c>
      <c r="Q5" s="96" t="s">
        <v>210</v>
      </c>
      <c r="R5" s="85" t="s">
        <v>213</v>
      </c>
      <c r="S5" s="85" t="s">
        <v>217</v>
      </c>
      <c r="T5" s="85" t="s">
        <v>221</v>
      </c>
      <c r="U5" s="85" t="s">
        <v>225</v>
      </c>
      <c r="V5" s="97" t="s">
        <v>286</v>
      </c>
      <c r="Y5" s="96" t="s">
        <v>210</v>
      </c>
      <c r="Z5" s="85" t="s">
        <v>213</v>
      </c>
      <c r="AA5" s="85" t="s">
        <v>217</v>
      </c>
      <c r="AB5" s="85" t="s">
        <v>221</v>
      </c>
      <c r="AC5" s="85" t="s">
        <v>225</v>
      </c>
      <c r="AD5" s="97" t="s">
        <v>286</v>
      </c>
    </row>
    <row r="6" spans="1:30" x14ac:dyDescent="0.35">
      <c r="A6" s="98" t="str">
        <f>IF('Skill Index'!I4=10,'Skill Index'!A4,"")</f>
        <v/>
      </c>
      <c r="B6" s="1" t="str">
        <f>IF('Skill Index'!I4=9,'Skill Index'!A4,"")</f>
        <v>Ankit Rajput</v>
      </c>
      <c r="C6" s="1" t="str">
        <f>IF('Skill Index'!I4=8,'Skill Index'!A4,"")</f>
        <v/>
      </c>
      <c r="D6" s="1" t="str">
        <f>IF('Skill Index'!I4=7,'Skill Index'!A4,"")</f>
        <v/>
      </c>
      <c r="E6" s="1" t="str">
        <f>IF('Skill Index'!I4=6,'Skill Index'!A4,"")</f>
        <v/>
      </c>
      <c r="F6" s="99" t="str">
        <f>IF('Skill Index'!I4&lt;6,'Skill Index'!A4,"")</f>
        <v/>
      </c>
      <c r="I6" s="98" t="str">
        <f>IF('Skill Index'!J4=10,'Skill Index'!A4,"")</f>
        <v/>
      </c>
      <c r="J6" s="1" t="str">
        <f>IF('Skill Index'!J4=9,'Skill Index'!A4,"")</f>
        <v/>
      </c>
      <c r="K6" s="1" t="str">
        <f>IF('Skill Index'!J4=8,'Skill Index'!A4,"")</f>
        <v>Ankit Rajput</v>
      </c>
      <c r="L6" s="1" t="str">
        <f>IF('Skill Index'!J4=7,'Skill Index'!A4,"")</f>
        <v/>
      </c>
      <c r="M6" s="1" t="str">
        <f>IF('Skill Index'!J4=6,'Skill Index'!A4,"")</f>
        <v/>
      </c>
      <c r="N6" s="99" t="str">
        <f>IF('Skill Index'!J4&lt;6,'Skill Index'!A4,"")</f>
        <v/>
      </c>
      <c r="Q6" s="98" t="str">
        <f>IF('Skill Index'!K4=10,'Skill Index'!A4,"")</f>
        <v/>
      </c>
      <c r="R6" s="1" t="str">
        <f>IF('Skill Index'!K4=9,'Skill Index'!A4,"")</f>
        <v/>
      </c>
      <c r="S6" s="1" t="str">
        <f>IF('Skill Index'!K4=8,'Skill Index'!A4,"")</f>
        <v/>
      </c>
      <c r="T6" s="1" t="str">
        <f>IF('Skill Index'!K4=7,'Skill Index'!A4,"")</f>
        <v/>
      </c>
      <c r="U6" s="1" t="str">
        <f>IF('Skill Index'!K4=6,'Skill Index'!A4,"")</f>
        <v>Ankit Rajput</v>
      </c>
      <c r="V6" s="99" t="str">
        <f>IF('Skill Index'!K4&lt;6,'Skill Index'!A4,"")</f>
        <v/>
      </c>
      <c r="Y6" s="98" t="str">
        <f>IF('Skill Index'!L4=10,'Skill Index'!A4,"")</f>
        <v/>
      </c>
      <c r="Z6" s="98" t="str">
        <f>IF('Skill Index'!L4=9,'Skill Index'!A4,"")</f>
        <v/>
      </c>
      <c r="AA6" s="98" t="str">
        <f>IF('Skill Index'!L4=8,'Skill Index'!A4,"")</f>
        <v/>
      </c>
      <c r="AB6" s="98" t="str">
        <f>IF('Skill Index'!L4=7,'Skill Index'!A4,"")</f>
        <v>Ankit Rajput</v>
      </c>
      <c r="AC6" s="98" t="str">
        <f>IF('Skill Index'!L4=6,'Skill Index'!A4,"")</f>
        <v/>
      </c>
      <c r="AD6" s="98" t="str">
        <f>IF('Skill Index'!L4&lt;6,'Skill Index'!A4,"")</f>
        <v/>
      </c>
    </row>
    <row r="7" spans="1:30" x14ac:dyDescent="0.35">
      <c r="A7" s="98" t="str">
        <f>IF('Skill Index'!I5=10,'Skill Index'!A5,"")</f>
        <v/>
      </c>
      <c r="B7" s="1" t="str">
        <f>IF('Skill Index'!I5=9,'Skill Index'!A5,"")</f>
        <v/>
      </c>
      <c r="C7" s="1" t="str">
        <f>IF('Skill Index'!I5=8,'Skill Index'!A5,"")</f>
        <v>Anusha Gunda</v>
      </c>
      <c r="D7" s="1" t="str">
        <f>IF('Skill Index'!I5=7,'Skill Index'!A5,"")</f>
        <v/>
      </c>
      <c r="E7" s="1" t="str">
        <f>IF('Skill Index'!I5=6,'Skill Index'!A5,"")</f>
        <v/>
      </c>
      <c r="F7" s="99" t="str">
        <f>IF('Skill Index'!I5&lt;6,'Skill Index'!A5,"")</f>
        <v/>
      </c>
      <c r="I7" s="98" t="str">
        <f>IF('Skill Index'!J5=10,'Skill Index'!A5,"")</f>
        <v/>
      </c>
      <c r="J7" s="1" t="str">
        <f>IF('Skill Index'!J5=9,'Skill Index'!A5,"")</f>
        <v/>
      </c>
      <c r="K7" s="1" t="str">
        <f>IF('Skill Index'!J5=8,'Skill Index'!A5,"")</f>
        <v/>
      </c>
      <c r="L7" s="1" t="str">
        <f>IF('Skill Index'!J5=7,'Skill Index'!A5,"")</f>
        <v/>
      </c>
      <c r="M7" s="1" t="str">
        <f>IF('Skill Index'!J5=6,'Skill Index'!A5,"")</f>
        <v/>
      </c>
      <c r="N7" s="99" t="str">
        <f>IF('Skill Index'!J5&lt;6,'Skill Index'!A5,"")</f>
        <v>Anusha Gunda</v>
      </c>
      <c r="Q7" s="98" t="str">
        <f>IF('Skill Index'!K5=10,'Skill Index'!A5,"")</f>
        <v/>
      </c>
      <c r="R7" s="1" t="str">
        <f>IF('Skill Index'!K5=9,'Skill Index'!A5,"")</f>
        <v/>
      </c>
      <c r="S7" s="1" t="str">
        <f>IF('Skill Index'!K5=8,'Skill Index'!A5,"")</f>
        <v/>
      </c>
      <c r="T7" s="1" t="str">
        <f>IF('Skill Index'!K5=7,'Skill Index'!A5,"")</f>
        <v/>
      </c>
      <c r="U7" s="1" t="str">
        <f>IF('Skill Index'!K5=6,'Skill Index'!A5,"")</f>
        <v/>
      </c>
      <c r="V7" s="99" t="str">
        <f>IF('Skill Index'!K5&lt;6,'Skill Index'!A5,"")</f>
        <v>Anusha Gunda</v>
      </c>
      <c r="Y7" s="98" t="str">
        <f>IF('Skill Index'!L5=10,'Skill Index'!A5,"")</f>
        <v/>
      </c>
      <c r="Z7" s="98" t="str">
        <f>IF('Skill Index'!L5=9,'Skill Index'!A5,"")</f>
        <v/>
      </c>
      <c r="AA7" s="98" t="str">
        <f>IF('Skill Index'!L5=8,'Skill Index'!A5,"")</f>
        <v>Anusha Gunda</v>
      </c>
      <c r="AB7" s="98" t="str">
        <f>IF('Skill Index'!L5=7,'Skill Index'!A5,"")</f>
        <v/>
      </c>
      <c r="AC7" s="98" t="str">
        <f>IF('Skill Index'!L5=6,'Skill Index'!A5,"")</f>
        <v/>
      </c>
      <c r="AD7" s="98" t="str">
        <f>IF('Skill Index'!L5&lt;6,'Skill Index'!A5,"")</f>
        <v/>
      </c>
    </row>
    <row r="8" spans="1:30" x14ac:dyDescent="0.35">
      <c r="A8" s="98" t="str">
        <f>IF('Skill Index'!I6=10,'Skill Index'!A6,"")</f>
        <v/>
      </c>
      <c r="B8" s="1" t="str">
        <f>IF('Skill Index'!I6=9,'Skill Index'!A6,"")</f>
        <v/>
      </c>
      <c r="C8" s="1" t="str">
        <f>IF('Skill Index'!I6=8,'Skill Index'!A6,"")</f>
        <v/>
      </c>
      <c r="D8" s="1" t="str">
        <f>IF('Skill Index'!I6=7,'Skill Index'!A6,"")</f>
        <v/>
      </c>
      <c r="E8" s="1" t="str">
        <f>IF('Skill Index'!I6=6,'Skill Index'!A6,"")</f>
        <v/>
      </c>
      <c r="F8" s="99" t="str">
        <f>IF('Skill Index'!I6&lt;6,'Skill Index'!A6,"")</f>
        <v>Arun Kumar</v>
      </c>
      <c r="I8" s="98" t="str">
        <f>IF('Skill Index'!J6=10,'Skill Index'!A6,"")</f>
        <v/>
      </c>
      <c r="J8" s="1" t="str">
        <f>IF('Skill Index'!J6=9,'Skill Index'!A6,"")</f>
        <v/>
      </c>
      <c r="K8" s="1" t="str">
        <f>IF('Skill Index'!J6=8,'Skill Index'!A6,"")</f>
        <v/>
      </c>
      <c r="L8" s="1" t="str">
        <f>IF('Skill Index'!J6=7,'Skill Index'!A6,"")</f>
        <v/>
      </c>
      <c r="M8" s="1" t="str">
        <f>IF('Skill Index'!J6=6,'Skill Index'!A6,"")</f>
        <v/>
      </c>
      <c r="N8" s="99" t="str">
        <f>IF('Skill Index'!J6&lt;6,'Skill Index'!A6,"")</f>
        <v>Arun Kumar</v>
      </c>
      <c r="Q8" s="98" t="str">
        <f>IF('Skill Index'!K6=10,'Skill Index'!A6,"")</f>
        <v/>
      </c>
      <c r="R8" s="1" t="str">
        <f>IF('Skill Index'!K6=9,'Skill Index'!A6,"")</f>
        <v/>
      </c>
      <c r="S8" s="1" t="str">
        <f>IF('Skill Index'!K6=8,'Skill Index'!A6,"")</f>
        <v/>
      </c>
      <c r="T8" s="1" t="str">
        <f>IF('Skill Index'!K6=7,'Skill Index'!A6,"")</f>
        <v/>
      </c>
      <c r="U8" s="1" t="str">
        <f>IF('Skill Index'!K6=6,'Skill Index'!A6,"")</f>
        <v/>
      </c>
      <c r="V8" s="99" t="str">
        <f>IF('Skill Index'!K6&lt;6,'Skill Index'!A6,"")</f>
        <v>Arun Kumar</v>
      </c>
      <c r="Y8" s="98" t="str">
        <f>IF('Skill Index'!L6=10,'Skill Index'!A6,"")</f>
        <v/>
      </c>
      <c r="Z8" s="98" t="str">
        <f>IF('Skill Index'!L6=9,'Skill Index'!A6,"")</f>
        <v/>
      </c>
      <c r="AA8" s="98" t="str">
        <f>IF('Skill Index'!L6=8,'Skill Index'!A6,"")</f>
        <v/>
      </c>
      <c r="AB8" s="98" t="str">
        <f>IF('Skill Index'!L6=7,'Skill Index'!A6,"")</f>
        <v/>
      </c>
      <c r="AC8" s="98" t="str">
        <f>IF('Skill Index'!L6=6,'Skill Index'!A6,"")</f>
        <v/>
      </c>
      <c r="AD8" s="98" t="str">
        <f>IF('Skill Index'!L6&lt;6,'Skill Index'!A6,"")</f>
        <v>Arun Kumar</v>
      </c>
    </row>
    <row r="9" spans="1:30" x14ac:dyDescent="0.35">
      <c r="A9" s="98" t="str">
        <f>IF('Skill Index'!I7=10,'Skill Index'!A7,"")</f>
        <v/>
      </c>
      <c r="B9" s="1" t="str">
        <f>IF('Skill Index'!I7=9,'Skill Index'!A7,"")</f>
        <v/>
      </c>
      <c r="C9" s="1" t="str">
        <f>IF('Skill Index'!I7=8,'Skill Index'!A7,"")</f>
        <v>Ashraya H D</v>
      </c>
      <c r="D9" s="1" t="str">
        <f>IF('Skill Index'!I7=7,'Skill Index'!A7,"")</f>
        <v/>
      </c>
      <c r="E9" s="1" t="str">
        <f>IF('Skill Index'!I7=6,'Skill Index'!A7,"")</f>
        <v/>
      </c>
      <c r="F9" s="99" t="str">
        <f>IF('Skill Index'!I7&lt;6,'Skill Index'!A7,"")</f>
        <v/>
      </c>
      <c r="I9" s="98" t="str">
        <f>IF('Skill Index'!J7=10,'Skill Index'!A7,"")</f>
        <v/>
      </c>
      <c r="J9" s="1" t="str">
        <f>IF('Skill Index'!J7=9,'Skill Index'!A7,"")</f>
        <v/>
      </c>
      <c r="K9" s="1" t="str">
        <f>IF('Skill Index'!J7=8,'Skill Index'!A7,"")</f>
        <v/>
      </c>
      <c r="L9" s="1" t="str">
        <f>IF('Skill Index'!J7=7,'Skill Index'!A7,"")</f>
        <v>Ashraya H D</v>
      </c>
      <c r="M9" s="1" t="str">
        <f>IF('Skill Index'!J7=6,'Skill Index'!A7,"")</f>
        <v/>
      </c>
      <c r="N9" s="99" t="str">
        <f>IF('Skill Index'!J7&lt;6,'Skill Index'!A7,"")</f>
        <v/>
      </c>
      <c r="Q9" s="98" t="str">
        <f>IF('Skill Index'!K7=10,'Skill Index'!A7,"")</f>
        <v/>
      </c>
      <c r="R9" s="1" t="str">
        <f>IF('Skill Index'!K7=9,'Skill Index'!A7,"")</f>
        <v/>
      </c>
      <c r="S9" s="1" t="str">
        <f>IF('Skill Index'!K7=8,'Skill Index'!A7,"")</f>
        <v>Ashraya H D</v>
      </c>
      <c r="T9" s="1" t="str">
        <f>IF('Skill Index'!K7=7,'Skill Index'!A7,"")</f>
        <v/>
      </c>
      <c r="U9" s="1" t="str">
        <f>IF('Skill Index'!K7=6,'Skill Index'!A7,"")</f>
        <v/>
      </c>
      <c r="V9" s="99" t="str">
        <f>IF('Skill Index'!K7&lt;6,'Skill Index'!A7,"")</f>
        <v/>
      </c>
      <c r="Y9" s="98" t="str">
        <f>IF('Skill Index'!L7=10,'Skill Index'!A7,"")</f>
        <v/>
      </c>
      <c r="Z9" s="98" t="str">
        <f>IF('Skill Index'!L7=9,'Skill Index'!A7,"")</f>
        <v/>
      </c>
      <c r="AA9" s="98" t="str">
        <f>IF('Skill Index'!L7=8,'Skill Index'!A7,"")</f>
        <v>Ashraya H D</v>
      </c>
      <c r="AB9" s="98" t="str">
        <f>IF('Skill Index'!L7=7,'Skill Index'!A7,"")</f>
        <v/>
      </c>
      <c r="AC9" s="98" t="str">
        <f>IF('Skill Index'!L7=6,'Skill Index'!A7,"")</f>
        <v/>
      </c>
      <c r="AD9" s="98" t="str">
        <f>IF('Skill Index'!L7&lt;6,'Skill Index'!A7,"")</f>
        <v/>
      </c>
    </row>
    <row r="10" spans="1:30" x14ac:dyDescent="0.35">
      <c r="A10" s="98" t="str">
        <f>IF('Skill Index'!I8=10,'Skill Index'!A8,"")</f>
        <v/>
      </c>
      <c r="B10" s="1" t="str">
        <f>IF('Skill Index'!I8=9,'Skill Index'!A8,"")</f>
        <v/>
      </c>
      <c r="C10" s="1" t="str">
        <f>IF('Skill Index'!I8=8,'Skill Index'!A8,"")</f>
        <v/>
      </c>
      <c r="D10" s="1" t="str">
        <f>IF('Skill Index'!I8=7,'Skill Index'!A8,"")</f>
        <v>Jeet Doshi</v>
      </c>
      <c r="E10" s="1" t="str">
        <f>IF('Skill Index'!I8=6,'Skill Index'!A8,"")</f>
        <v/>
      </c>
      <c r="F10" s="99" t="str">
        <f>IF('Skill Index'!I8&lt;6,'Skill Index'!A8,"")</f>
        <v/>
      </c>
      <c r="I10" s="98" t="str">
        <f>IF('Skill Index'!J8=10,'Skill Index'!A8,"")</f>
        <v/>
      </c>
      <c r="J10" s="1" t="str">
        <f>IF('Skill Index'!J8=9,'Skill Index'!A8,"")</f>
        <v/>
      </c>
      <c r="K10" s="1" t="str">
        <f>IF('Skill Index'!J8=8,'Skill Index'!A8,"")</f>
        <v/>
      </c>
      <c r="L10" s="1" t="str">
        <f>IF('Skill Index'!J8=7,'Skill Index'!A8,"")</f>
        <v/>
      </c>
      <c r="M10" s="1" t="str">
        <f>IF('Skill Index'!J8=6,'Skill Index'!A8,"")</f>
        <v>Jeet Doshi</v>
      </c>
      <c r="N10" s="99" t="str">
        <f>IF('Skill Index'!J8&lt;6,'Skill Index'!A8,"")</f>
        <v/>
      </c>
      <c r="Q10" s="98" t="str">
        <f>IF('Skill Index'!K8=10,'Skill Index'!A8,"")</f>
        <v/>
      </c>
      <c r="R10" s="1" t="str">
        <f>IF('Skill Index'!K8=9,'Skill Index'!A8,"")</f>
        <v/>
      </c>
      <c r="S10" s="1" t="str">
        <f>IF('Skill Index'!K8=8,'Skill Index'!A8,"")</f>
        <v/>
      </c>
      <c r="T10" s="1" t="str">
        <f>IF('Skill Index'!K8=7,'Skill Index'!A8,"")</f>
        <v/>
      </c>
      <c r="U10" s="1" t="str">
        <f>IF('Skill Index'!K8=6,'Skill Index'!A8,"")</f>
        <v/>
      </c>
      <c r="V10" s="99" t="str">
        <f>IF('Skill Index'!K8&lt;6,'Skill Index'!A8,"")</f>
        <v>Jeet Doshi</v>
      </c>
      <c r="Y10" s="98" t="str">
        <f>IF('Skill Index'!L8=10,'Skill Index'!A8,"")</f>
        <v/>
      </c>
      <c r="Z10" s="98" t="str">
        <f>IF('Skill Index'!L8=9,'Skill Index'!A8,"")</f>
        <v/>
      </c>
      <c r="AA10" s="98" t="str">
        <f>IF('Skill Index'!L8=8,'Skill Index'!A8,"")</f>
        <v/>
      </c>
      <c r="AB10" s="98" t="str">
        <f>IF('Skill Index'!L8=7,'Skill Index'!A8,"")</f>
        <v/>
      </c>
      <c r="AC10" s="98" t="str">
        <f>IF('Skill Index'!L8=6,'Skill Index'!A8,"")</f>
        <v/>
      </c>
      <c r="AD10" s="98" t="str">
        <f>IF('Skill Index'!L8&lt;6,'Skill Index'!A8,"")</f>
        <v>Jeet Doshi</v>
      </c>
    </row>
    <row r="11" spans="1:30" x14ac:dyDescent="0.35">
      <c r="A11" s="98" t="str">
        <f>IF('Skill Index'!I9=10,'Skill Index'!A9,"")</f>
        <v/>
      </c>
      <c r="B11" s="1" t="str">
        <f>IF('Skill Index'!I9=9,'Skill Index'!A9,"")</f>
        <v/>
      </c>
      <c r="C11" s="1" t="str">
        <f>IF('Skill Index'!I9=8,'Skill Index'!A9,"")</f>
        <v/>
      </c>
      <c r="D11" s="1" t="str">
        <f>IF('Skill Index'!I9=7,'Skill Index'!A9,"")</f>
        <v>Mahesh Kumar</v>
      </c>
      <c r="E11" s="1" t="str">
        <f>IF('Skill Index'!I9=6,'Skill Index'!A9,"")</f>
        <v/>
      </c>
      <c r="F11" s="99" t="str">
        <f>IF('Skill Index'!I9&lt;6,'Skill Index'!A9,"")</f>
        <v/>
      </c>
      <c r="I11" s="98" t="str">
        <f>IF('Skill Index'!J9=10,'Skill Index'!A9,"")</f>
        <v/>
      </c>
      <c r="J11" s="1" t="str">
        <f>IF('Skill Index'!J9=9,'Skill Index'!A9,"")</f>
        <v/>
      </c>
      <c r="K11" s="1" t="str">
        <f>IF('Skill Index'!J9=8,'Skill Index'!A9,"")</f>
        <v/>
      </c>
      <c r="L11" s="1" t="str">
        <f>IF('Skill Index'!J9=7,'Skill Index'!A9,"")</f>
        <v/>
      </c>
      <c r="M11" s="1" t="str">
        <f>IF('Skill Index'!J9=6,'Skill Index'!A9,"")</f>
        <v/>
      </c>
      <c r="N11" s="99" t="str">
        <f>IF('Skill Index'!J9&lt;6,'Skill Index'!A9,"")</f>
        <v>Mahesh Kumar</v>
      </c>
      <c r="Q11" s="98" t="str">
        <f>IF('Skill Index'!K9=10,'Skill Index'!A9,"")</f>
        <v/>
      </c>
      <c r="R11" s="1" t="str">
        <f>IF('Skill Index'!K9=9,'Skill Index'!A9,"")</f>
        <v/>
      </c>
      <c r="S11" s="1" t="str">
        <f>IF('Skill Index'!K9=8,'Skill Index'!A9,"")</f>
        <v/>
      </c>
      <c r="T11" s="1" t="str">
        <f>IF('Skill Index'!K9=7,'Skill Index'!A9,"")</f>
        <v/>
      </c>
      <c r="U11" s="1" t="str">
        <f>IF('Skill Index'!K9=6,'Skill Index'!A9,"")</f>
        <v/>
      </c>
      <c r="V11" s="99" t="str">
        <f>IF('Skill Index'!K9&lt;6,'Skill Index'!A9,"")</f>
        <v>Mahesh Kumar</v>
      </c>
      <c r="Y11" s="98" t="str">
        <f>IF('Skill Index'!L9=10,'Skill Index'!A9,"")</f>
        <v/>
      </c>
      <c r="Z11" s="98" t="str">
        <f>IF('Skill Index'!L9=9,'Skill Index'!A9,"")</f>
        <v/>
      </c>
      <c r="AA11" s="98" t="str">
        <f>IF('Skill Index'!L9=8,'Skill Index'!A9,"")</f>
        <v/>
      </c>
      <c r="AB11" s="98" t="str">
        <f>IF('Skill Index'!L9=7,'Skill Index'!A9,"")</f>
        <v/>
      </c>
      <c r="AC11" s="98" t="str">
        <f>IF('Skill Index'!L9=6,'Skill Index'!A9,"")</f>
        <v/>
      </c>
      <c r="AD11" s="98" t="str">
        <f>IF('Skill Index'!L9&lt;6,'Skill Index'!A9,"")</f>
        <v>Mahesh Kumar</v>
      </c>
    </row>
    <row r="12" spans="1:30" x14ac:dyDescent="0.35">
      <c r="A12" s="98" t="str">
        <f>IF('Skill Index'!I10=10,'Skill Index'!A10,"")</f>
        <v/>
      </c>
      <c r="B12" s="1" t="str">
        <f>IF('Skill Index'!I10=9,'Skill Index'!A10,"")</f>
        <v/>
      </c>
      <c r="C12" s="1" t="str">
        <f>IF('Skill Index'!I10=8,'Skill Index'!A10,"")</f>
        <v>Nilekha Repaka</v>
      </c>
      <c r="D12" s="1" t="str">
        <f>IF('Skill Index'!I10=7,'Skill Index'!A10,"")</f>
        <v/>
      </c>
      <c r="E12" s="1" t="str">
        <f>IF('Skill Index'!I10=6,'Skill Index'!A10,"")</f>
        <v/>
      </c>
      <c r="F12" s="99" t="str">
        <f>IF('Skill Index'!I10&lt;6,'Skill Index'!A10,"")</f>
        <v/>
      </c>
      <c r="I12" s="98" t="str">
        <f>IF('Skill Index'!J10=10,'Skill Index'!A10,"")</f>
        <v/>
      </c>
      <c r="J12" s="1" t="str">
        <f>IF('Skill Index'!J10=9,'Skill Index'!A10,"")</f>
        <v/>
      </c>
      <c r="K12" s="1" t="str">
        <f>IF('Skill Index'!J10=8,'Skill Index'!A10,"")</f>
        <v>Nilekha Repaka</v>
      </c>
      <c r="L12" s="1" t="str">
        <f>IF('Skill Index'!J10=7,'Skill Index'!A10,"")</f>
        <v/>
      </c>
      <c r="M12" s="1" t="str">
        <f>IF('Skill Index'!J10=6,'Skill Index'!A10,"")</f>
        <v/>
      </c>
      <c r="N12" s="99" t="str">
        <f>IF('Skill Index'!J10&lt;6,'Skill Index'!A10,"")</f>
        <v/>
      </c>
      <c r="Q12" s="98" t="str">
        <f>IF('Skill Index'!K10=10,'Skill Index'!A10,"")</f>
        <v/>
      </c>
      <c r="R12" s="1" t="str">
        <f>IF('Skill Index'!K10=9,'Skill Index'!A10,"")</f>
        <v/>
      </c>
      <c r="S12" s="1" t="str">
        <f>IF('Skill Index'!K10=8,'Skill Index'!A10,"")</f>
        <v>Nilekha Repaka</v>
      </c>
      <c r="T12" s="1" t="str">
        <f>IF('Skill Index'!K10=7,'Skill Index'!A10,"")</f>
        <v/>
      </c>
      <c r="U12" s="1" t="str">
        <f>IF('Skill Index'!K10=6,'Skill Index'!A10,"")</f>
        <v/>
      </c>
      <c r="V12" s="99" t="str">
        <f>IF('Skill Index'!K10&lt;6,'Skill Index'!A10,"")</f>
        <v/>
      </c>
      <c r="Y12" s="98" t="str">
        <f>IF('Skill Index'!L10=10,'Skill Index'!A10,"")</f>
        <v/>
      </c>
      <c r="Z12" s="98" t="str">
        <f>IF('Skill Index'!L10=9,'Skill Index'!A10,"")</f>
        <v/>
      </c>
      <c r="AA12" s="98" t="str">
        <f>IF('Skill Index'!L10=8,'Skill Index'!A10,"")</f>
        <v>Nilekha Repaka</v>
      </c>
      <c r="AB12" s="98" t="str">
        <f>IF('Skill Index'!L10=7,'Skill Index'!A10,"")</f>
        <v/>
      </c>
      <c r="AC12" s="98" t="str">
        <f>IF('Skill Index'!L10=6,'Skill Index'!A10,"")</f>
        <v/>
      </c>
      <c r="AD12" s="98" t="str">
        <f>IF('Skill Index'!L10&lt;6,'Skill Index'!A10,"")</f>
        <v/>
      </c>
    </row>
    <row r="13" spans="1:30" x14ac:dyDescent="0.35">
      <c r="A13" s="98" t="str">
        <f>IF('Skill Index'!I11=10,'Skill Index'!A11,"")</f>
        <v/>
      </c>
      <c r="B13" s="1" t="str">
        <f>IF('Skill Index'!I11=9,'Skill Index'!A11,"")</f>
        <v/>
      </c>
      <c r="C13" s="1" t="str">
        <f>IF('Skill Index'!I11=8,'Skill Index'!A11,"")</f>
        <v>Pawan Rathore</v>
      </c>
      <c r="D13" s="1" t="str">
        <f>IF('Skill Index'!I11=7,'Skill Index'!A11,"")</f>
        <v/>
      </c>
      <c r="E13" s="1" t="str">
        <f>IF('Skill Index'!I11=6,'Skill Index'!A11,"")</f>
        <v/>
      </c>
      <c r="F13" s="99" t="str">
        <f>IF('Skill Index'!I11&lt;6,'Skill Index'!A11,"")</f>
        <v/>
      </c>
      <c r="I13" s="98" t="str">
        <f>IF('Skill Index'!J11=10,'Skill Index'!A11,"")</f>
        <v/>
      </c>
      <c r="J13" s="1" t="str">
        <f>IF('Skill Index'!J11=9,'Skill Index'!A11,"")</f>
        <v/>
      </c>
      <c r="K13" s="1" t="str">
        <f>IF('Skill Index'!J11=8,'Skill Index'!A11,"")</f>
        <v>Pawan Rathore</v>
      </c>
      <c r="L13" s="1" t="str">
        <f>IF('Skill Index'!J11=7,'Skill Index'!A11,"")</f>
        <v/>
      </c>
      <c r="M13" s="1" t="str">
        <f>IF('Skill Index'!J11=6,'Skill Index'!A11,"")</f>
        <v/>
      </c>
      <c r="N13" s="99" t="str">
        <f>IF('Skill Index'!J11&lt;6,'Skill Index'!A11,"")</f>
        <v/>
      </c>
      <c r="Q13" s="98" t="str">
        <f>IF('Skill Index'!K11=10,'Skill Index'!A11,"")</f>
        <v/>
      </c>
      <c r="R13" s="1" t="str">
        <f>IF('Skill Index'!K11=9,'Skill Index'!A11,"")</f>
        <v/>
      </c>
      <c r="S13" s="1" t="str">
        <f>IF('Skill Index'!K11=8,'Skill Index'!A11,"")</f>
        <v/>
      </c>
      <c r="T13" s="1" t="str">
        <f>IF('Skill Index'!K11=7,'Skill Index'!A11,"")</f>
        <v>Pawan Rathore</v>
      </c>
      <c r="U13" s="1" t="str">
        <f>IF('Skill Index'!K11=6,'Skill Index'!A11,"")</f>
        <v/>
      </c>
      <c r="V13" s="99" t="str">
        <f>IF('Skill Index'!K11&lt;6,'Skill Index'!A11,"")</f>
        <v/>
      </c>
      <c r="Y13" s="98" t="str">
        <f>IF('Skill Index'!L11=10,'Skill Index'!A11,"")</f>
        <v/>
      </c>
      <c r="Z13" s="98" t="str">
        <f>IF('Skill Index'!L11=9,'Skill Index'!A11,"")</f>
        <v/>
      </c>
      <c r="AA13" s="98" t="str">
        <f>IF('Skill Index'!L11=8,'Skill Index'!A11,"")</f>
        <v>Pawan Rathore</v>
      </c>
      <c r="AB13" s="98" t="str">
        <f>IF('Skill Index'!L11=7,'Skill Index'!A11,"")</f>
        <v/>
      </c>
      <c r="AC13" s="98" t="str">
        <f>IF('Skill Index'!L11=6,'Skill Index'!A11,"")</f>
        <v/>
      </c>
      <c r="AD13" s="98" t="str">
        <f>IF('Skill Index'!L11&lt;6,'Skill Index'!A11,"")</f>
        <v/>
      </c>
    </row>
    <row r="14" spans="1:30" x14ac:dyDescent="0.35">
      <c r="A14" s="98" t="str">
        <f>IF('Skill Index'!I12=10,'Skill Index'!A12,"")</f>
        <v/>
      </c>
      <c r="B14" s="1" t="str">
        <f>IF('Skill Index'!I12=9,'Skill Index'!A12,"")</f>
        <v>Priyesh Tiwari</v>
      </c>
      <c r="C14" s="1" t="str">
        <f>IF('Skill Index'!I12=8,'Skill Index'!A12,"")</f>
        <v/>
      </c>
      <c r="D14" s="1" t="str">
        <f>IF('Skill Index'!I12=7,'Skill Index'!A12,"")</f>
        <v/>
      </c>
      <c r="E14" s="1" t="str">
        <f>IF('Skill Index'!I12=6,'Skill Index'!A12,"")</f>
        <v/>
      </c>
      <c r="F14" s="99" t="str">
        <f>IF('Skill Index'!I12&lt;6,'Skill Index'!A12,"")</f>
        <v/>
      </c>
      <c r="I14" s="98" t="str">
        <f>IF('Skill Index'!J12=10,'Skill Index'!A12,"")</f>
        <v/>
      </c>
      <c r="J14" s="1" t="str">
        <f>IF('Skill Index'!J12=9,'Skill Index'!A12,"")</f>
        <v>Priyesh Tiwari</v>
      </c>
      <c r="K14" s="1" t="str">
        <f>IF('Skill Index'!J12=8,'Skill Index'!A12,"")</f>
        <v/>
      </c>
      <c r="L14" s="1" t="str">
        <f>IF('Skill Index'!J12=7,'Skill Index'!A12,"")</f>
        <v/>
      </c>
      <c r="M14" s="1" t="str">
        <f>IF('Skill Index'!J12=6,'Skill Index'!A12,"")</f>
        <v/>
      </c>
      <c r="N14" s="99" t="str">
        <f>IF('Skill Index'!J12&lt;6,'Skill Index'!A12,"")</f>
        <v/>
      </c>
      <c r="Q14" s="98" t="str">
        <f>IF('Skill Index'!K12=10,'Skill Index'!A12,"")</f>
        <v/>
      </c>
      <c r="R14" s="1" t="str">
        <f>IF('Skill Index'!K12=9,'Skill Index'!A12,"")</f>
        <v/>
      </c>
      <c r="S14" s="1" t="str">
        <f>IF('Skill Index'!K12=8,'Skill Index'!A12,"")</f>
        <v/>
      </c>
      <c r="T14" s="1" t="str">
        <f>IF('Skill Index'!K12=7,'Skill Index'!A12,"")</f>
        <v>Priyesh Tiwari</v>
      </c>
      <c r="U14" s="1" t="str">
        <f>IF('Skill Index'!K12=6,'Skill Index'!A12,"")</f>
        <v/>
      </c>
      <c r="V14" s="99" t="str">
        <f>IF('Skill Index'!K12&lt;6,'Skill Index'!A12,"")</f>
        <v/>
      </c>
      <c r="Y14" s="98" t="str">
        <f>IF('Skill Index'!L12=10,'Skill Index'!A12,"")</f>
        <v/>
      </c>
      <c r="Z14" s="98" t="str">
        <f>IF('Skill Index'!L12=9,'Skill Index'!A12,"")</f>
        <v/>
      </c>
      <c r="AA14" s="98" t="str">
        <f>IF('Skill Index'!L12=8,'Skill Index'!A12,"")</f>
        <v/>
      </c>
      <c r="AB14" s="98" t="str">
        <f>IF('Skill Index'!L12=7,'Skill Index'!A12,"")</f>
        <v>Priyesh Tiwari</v>
      </c>
      <c r="AC14" s="98" t="str">
        <f>IF('Skill Index'!L12=6,'Skill Index'!A12,"")</f>
        <v/>
      </c>
      <c r="AD14" s="98" t="str">
        <f>IF('Skill Index'!L12&lt;6,'Skill Index'!A12,"")</f>
        <v/>
      </c>
    </row>
    <row r="15" spans="1:30" x14ac:dyDescent="0.35">
      <c r="A15" s="98" t="str">
        <f>IF('Skill Index'!I13=10,'Skill Index'!A13,"")</f>
        <v/>
      </c>
      <c r="B15" s="1" t="str">
        <f>IF('Skill Index'!I13=9,'Skill Index'!A13,"")</f>
        <v/>
      </c>
      <c r="C15" s="1" t="str">
        <f>IF('Skill Index'!I13=8,'Skill Index'!A13,"")</f>
        <v>Rahul Kumar</v>
      </c>
      <c r="D15" s="1" t="str">
        <f>IF('Skill Index'!I13=7,'Skill Index'!A13,"")</f>
        <v/>
      </c>
      <c r="E15" s="1" t="str">
        <f>IF('Skill Index'!I13=6,'Skill Index'!A13,"")</f>
        <v/>
      </c>
      <c r="F15" s="99" t="str">
        <f>IF('Skill Index'!I13&lt;6,'Skill Index'!A13,"")</f>
        <v/>
      </c>
      <c r="I15" s="98" t="str">
        <f>IF('Skill Index'!J13=10,'Skill Index'!A13,"")</f>
        <v/>
      </c>
      <c r="J15" s="1" t="str">
        <f>IF('Skill Index'!J13=9,'Skill Index'!A13,"")</f>
        <v/>
      </c>
      <c r="K15" s="1" t="str">
        <f>IF('Skill Index'!J13=8,'Skill Index'!A13,"")</f>
        <v/>
      </c>
      <c r="L15" s="1" t="str">
        <f>IF('Skill Index'!J13=7,'Skill Index'!A13,"")</f>
        <v/>
      </c>
      <c r="M15" s="1" t="str">
        <f>IF('Skill Index'!J13=6,'Skill Index'!A13,"")</f>
        <v/>
      </c>
      <c r="N15" s="99" t="str">
        <f>IF('Skill Index'!J13&lt;6,'Skill Index'!A13,"")</f>
        <v>Rahul Kumar</v>
      </c>
      <c r="Q15" s="98" t="str">
        <f>IF('Skill Index'!K13=10,'Skill Index'!A13,"")</f>
        <v/>
      </c>
      <c r="R15" s="1" t="str">
        <f>IF('Skill Index'!K13=9,'Skill Index'!A13,"")</f>
        <v/>
      </c>
      <c r="S15" s="1" t="str">
        <f>IF('Skill Index'!K13=8,'Skill Index'!A13,"")</f>
        <v>Rahul Kumar</v>
      </c>
      <c r="T15" s="1" t="str">
        <f>IF('Skill Index'!K13=7,'Skill Index'!A13,"")</f>
        <v/>
      </c>
      <c r="U15" s="1" t="str">
        <f>IF('Skill Index'!K13=6,'Skill Index'!A13,"")</f>
        <v/>
      </c>
      <c r="V15" s="99" t="str">
        <f>IF('Skill Index'!K13&lt;6,'Skill Index'!A13,"")</f>
        <v/>
      </c>
      <c r="Y15" s="98" t="str">
        <f>IF('Skill Index'!L13=10,'Skill Index'!A13,"")</f>
        <v/>
      </c>
      <c r="Z15" s="98" t="str">
        <f>IF('Skill Index'!L13=9,'Skill Index'!A13,"")</f>
        <v/>
      </c>
      <c r="AA15" s="98" t="str">
        <f>IF('Skill Index'!L13=8,'Skill Index'!A13,"")</f>
        <v>Rahul Kumar</v>
      </c>
      <c r="AB15" s="98" t="str">
        <f>IF('Skill Index'!L13=7,'Skill Index'!A13,"")</f>
        <v/>
      </c>
      <c r="AC15" s="98" t="str">
        <f>IF('Skill Index'!L13=6,'Skill Index'!A13,"")</f>
        <v/>
      </c>
      <c r="AD15" s="98" t="str">
        <f>IF('Skill Index'!L13&lt;6,'Skill Index'!A13,"")</f>
        <v/>
      </c>
    </row>
    <row r="16" spans="1:30" x14ac:dyDescent="0.35">
      <c r="A16" s="98" t="str">
        <f>IF('Skill Index'!I14=10,'Skill Index'!A14,"")</f>
        <v/>
      </c>
      <c r="B16" s="1" t="str">
        <f>IF('Skill Index'!I14=9,'Skill Index'!A14,"")</f>
        <v/>
      </c>
      <c r="C16" s="1" t="str">
        <f>IF('Skill Index'!I14=8,'Skill Index'!A14,"")</f>
        <v>Ramkrishna Kadiya</v>
      </c>
      <c r="D16" s="1" t="str">
        <f>IF('Skill Index'!I14=7,'Skill Index'!A14,"")</f>
        <v/>
      </c>
      <c r="E16" s="1" t="str">
        <f>IF('Skill Index'!I14=6,'Skill Index'!A14,"")</f>
        <v/>
      </c>
      <c r="F16" s="99" t="str">
        <f>IF('Skill Index'!I14&lt;6,'Skill Index'!A14,"")</f>
        <v/>
      </c>
      <c r="I16" s="98" t="str">
        <f>IF('Skill Index'!J14=10,'Skill Index'!A14,"")</f>
        <v/>
      </c>
      <c r="J16" s="1" t="str">
        <f>IF('Skill Index'!J14=9,'Skill Index'!A14,"")</f>
        <v/>
      </c>
      <c r="K16" s="1" t="str">
        <f>IF('Skill Index'!J14=8,'Skill Index'!A14,"")</f>
        <v/>
      </c>
      <c r="L16" s="1" t="str">
        <f>IF('Skill Index'!J14=7,'Skill Index'!A14,"")</f>
        <v/>
      </c>
      <c r="M16" s="1" t="str">
        <f>IF('Skill Index'!J14=6,'Skill Index'!A14,"")</f>
        <v/>
      </c>
      <c r="N16" s="99" t="str">
        <f>IF('Skill Index'!J14&lt;6,'Skill Index'!A14,"")</f>
        <v>Ramkrishna Kadiya</v>
      </c>
      <c r="Q16" s="98" t="str">
        <f>IF('Skill Index'!K14=10,'Skill Index'!A14,"")</f>
        <v/>
      </c>
      <c r="R16" s="1" t="str">
        <f>IF('Skill Index'!K14=9,'Skill Index'!A14,"")</f>
        <v/>
      </c>
      <c r="S16" s="1" t="str">
        <f>IF('Skill Index'!K14=8,'Skill Index'!A14,"")</f>
        <v/>
      </c>
      <c r="T16" s="1" t="str">
        <f>IF('Skill Index'!K14=7,'Skill Index'!A14,"")</f>
        <v/>
      </c>
      <c r="U16" s="1" t="str">
        <f>IF('Skill Index'!K14=6,'Skill Index'!A14,"")</f>
        <v/>
      </c>
      <c r="V16" s="99" t="str">
        <f>IF('Skill Index'!K14&lt;6,'Skill Index'!A14,"")</f>
        <v>Ramkrishna Kadiya</v>
      </c>
      <c r="Y16" s="98" t="str">
        <f>IF('Skill Index'!L14=10,'Skill Index'!A14,"")</f>
        <v/>
      </c>
      <c r="Z16" s="98" t="str">
        <f>IF('Skill Index'!L14=9,'Skill Index'!A14,"")</f>
        <v/>
      </c>
      <c r="AA16" s="98" t="str">
        <f>IF('Skill Index'!L14=8,'Skill Index'!A14,"")</f>
        <v/>
      </c>
      <c r="AB16" s="98" t="str">
        <f>IF('Skill Index'!L14=7,'Skill Index'!A14,"")</f>
        <v/>
      </c>
      <c r="AC16" s="98" t="str">
        <f>IF('Skill Index'!L14=6,'Skill Index'!A14,"")</f>
        <v/>
      </c>
      <c r="AD16" s="98" t="str">
        <f>IF('Skill Index'!L14&lt;6,'Skill Index'!A14,"")</f>
        <v>Ramkrishna Kadiya</v>
      </c>
    </row>
    <row r="17" spans="1:30" x14ac:dyDescent="0.35">
      <c r="A17" s="98" t="str">
        <f>IF('Skill Index'!I15=10,'Skill Index'!A15,"")</f>
        <v/>
      </c>
      <c r="B17" s="1" t="str">
        <f>IF('Skill Index'!I15=9,'Skill Index'!A15,"")</f>
        <v/>
      </c>
      <c r="C17" s="1" t="str">
        <f>IF('Skill Index'!I15=8,'Skill Index'!A15,"")</f>
        <v>Revanth Anguluri</v>
      </c>
      <c r="D17" s="1" t="str">
        <f>IF('Skill Index'!I15=7,'Skill Index'!A15,"")</f>
        <v/>
      </c>
      <c r="E17" s="1" t="str">
        <f>IF('Skill Index'!I15=6,'Skill Index'!A15,"")</f>
        <v/>
      </c>
      <c r="F17" s="99" t="str">
        <f>IF('Skill Index'!I15&lt;6,'Skill Index'!A15,"")</f>
        <v/>
      </c>
      <c r="I17" s="98" t="str">
        <f>IF('Skill Index'!J15=10,'Skill Index'!A15,"")</f>
        <v/>
      </c>
      <c r="J17" s="1" t="str">
        <f>IF('Skill Index'!J15=9,'Skill Index'!A15,"")</f>
        <v/>
      </c>
      <c r="K17" s="1" t="str">
        <f>IF('Skill Index'!J15=8,'Skill Index'!A15,"")</f>
        <v/>
      </c>
      <c r="L17" s="1" t="str">
        <f>IF('Skill Index'!J15=7,'Skill Index'!A15,"")</f>
        <v/>
      </c>
      <c r="M17" s="1" t="str">
        <f>IF('Skill Index'!J15=6,'Skill Index'!A15,"")</f>
        <v/>
      </c>
      <c r="N17" s="99" t="str">
        <f>IF('Skill Index'!J15&lt;6,'Skill Index'!A15,"")</f>
        <v>Revanth Anguluri</v>
      </c>
      <c r="Q17" s="98" t="str">
        <f>IF('Skill Index'!K15=10,'Skill Index'!A15,"")</f>
        <v/>
      </c>
      <c r="R17" s="1" t="str">
        <f>IF('Skill Index'!K15=9,'Skill Index'!A15,"")</f>
        <v/>
      </c>
      <c r="S17" s="1" t="str">
        <f>IF('Skill Index'!K15=8,'Skill Index'!A15,"")</f>
        <v/>
      </c>
      <c r="T17" s="1" t="str">
        <f>IF('Skill Index'!K15=7,'Skill Index'!A15,"")</f>
        <v>Revanth Anguluri</v>
      </c>
      <c r="U17" s="1" t="str">
        <f>IF('Skill Index'!K15=6,'Skill Index'!A15,"")</f>
        <v/>
      </c>
      <c r="V17" s="99" t="str">
        <f>IF('Skill Index'!K15&lt;6,'Skill Index'!A15,"")</f>
        <v/>
      </c>
      <c r="Y17" s="98" t="str">
        <f>IF('Skill Index'!L15=10,'Skill Index'!A15,"")</f>
        <v/>
      </c>
      <c r="Z17" s="98" t="str">
        <f>IF('Skill Index'!L15=9,'Skill Index'!A15,"")</f>
        <v/>
      </c>
      <c r="AA17" s="98" t="str">
        <f>IF('Skill Index'!L15=8,'Skill Index'!A15,"")</f>
        <v>Revanth Anguluri</v>
      </c>
      <c r="AB17" s="98" t="str">
        <f>IF('Skill Index'!L15=7,'Skill Index'!A15,"")</f>
        <v/>
      </c>
      <c r="AC17" s="98" t="str">
        <f>IF('Skill Index'!L15=6,'Skill Index'!A15,"")</f>
        <v/>
      </c>
      <c r="AD17" s="98" t="str">
        <f>IF('Skill Index'!L15&lt;6,'Skill Index'!A15,"")</f>
        <v/>
      </c>
    </row>
    <row r="18" spans="1:30" x14ac:dyDescent="0.35">
      <c r="A18" s="98" t="str">
        <f>IF('Skill Index'!I16=10,'Skill Index'!A16,"")</f>
        <v/>
      </c>
      <c r="B18" s="1" t="str">
        <f>IF('Skill Index'!I16=9,'Skill Index'!A16,"")</f>
        <v/>
      </c>
      <c r="C18" s="1" t="str">
        <f>IF('Skill Index'!I16=8,'Skill Index'!A16,"")</f>
        <v>Sagar Sable</v>
      </c>
      <c r="D18" s="1" t="str">
        <f>IF('Skill Index'!I16=7,'Skill Index'!A16,"")</f>
        <v/>
      </c>
      <c r="E18" s="1" t="str">
        <f>IF('Skill Index'!I16=6,'Skill Index'!A16,"")</f>
        <v/>
      </c>
      <c r="F18" s="99" t="str">
        <f>IF('Skill Index'!I16&lt;6,'Skill Index'!A16,"")</f>
        <v/>
      </c>
      <c r="I18" s="98" t="str">
        <f>IF('Skill Index'!J16=10,'Skill Index'!A16,"")</f>
        <v/>
      </c>
      <c r="J18" s="1" t="str">
        <f>IF('Skill Index'!J16=9,'Skill Index'!A16,"")</f>
        <v/>
      </c>
      <c r="K18" s="1" t="str">
        <f>IF('Skill Index'!J16=8,'Skill Index'!A16,"")</f>
        <v/>
      </c>
      <c r="L18" s="1" t="str">
        <f>IF('Skill Index'!J16=7,'Skill Index'!A16,"")</f>
        <v/>
      </c>
      <c r="M18" s="1" t="str">
        <f>IF('Skill Index'!J16=6,'Skill Index'!A16,"")</f>
        <v>Sagar Sable</v>
      </c>
      <c r="N18" s="99" t="str">
        <f>IF('Skill Index'!J16&lt;6,'Skill Index'!A16,"")</f>
        <v/>
      </c>
      <c r="Q18" s="98" t="str">
        <f>IF('Skill Index'!K16=10,'Skill Index'!A16,"")</f>
        <v/>
      </c>
      <c r="R18" s="1" t="str">
        <f>IF('Skill Index'!K16=9,'Skill Index'!A16,"")</f>
        <v/>
      </c>
      <c r="S18" s="1" t="str">
        <f>IF('Skill Index'!K16=8,'Skill Index'!A16,"")</f>
        <v>Sagar Sable</v>
      </c>
      <c r="T18" s="1" t="str">
        <f>IF('Skill Index'!K16=7,'Skill Index'!A16,"")</f>
        <v/>
      </c>
      <c r="U18" s="1" t="str">
        <f>IF('Skill Index'!K16=6,'Skill Index'!A16,"")</f>
        <v/>
      </c>
      <c r="V18" s="99" t="str">
        <f>IF('Skill Index'!K16&lt;6,'Skill Index'!A16,"")</f>
        <v/>
      </c>
      <c r="Y18" s="98" t="str">
        <f>IF('Skill Index'!L16=10,'Skill Index'!A16,"")</f>
        <v/>
      </c>
      <c r="Z18" s="98" t="str">
        <f>IF('Skill Index'!L16=9,'Skill Index'!A16,"")</f>
        <v/>
      </c>
      <c r="AA18" s="98" t="str">
        <f>IF('Skill Index'!L16=8,'Skill Index'!A16,"")</f>
        <v>Sagar Sable</v>
      </c>
      <c r="AB18" s="98" t="str">
        <f>IF('Skill Index'!L16=7,'Skill Index'!A16,"")</f>
        <v/>
      </c>
      <c r="AC18" s="98" t="str">
        <f>IF('Skill Index'!L16=6,'Skill Index'!A16,"")</f>
        <v/>
      </c>
      <c r="AD18" s="98" t="str">
        <f>IF('Skill Index'!L16&lt;6,'Skill Index'!A16,"")</f>
        <v/>
      </c>
    </row>
    <row r="19" spans="1:30" x14ac:dyDescent="0.35">
      <c r="A19" s="98" t="str">
        <f>IF('Skill Index'!I17=10,'Skill Index'!A17,"")</f>
        <v/>
      </c>
      <c r="B19" s="1" t="str">
        <f>IF('Skill Index'!I17=9,'Skill Index'!A17,"")</f>
        <v>Shreya Ramprakash</v>
      </c>
      <c r="C19" s="1" t="str">
        <f>IF('Skill Index'!I17=8,'Skill Index'!A17,"")</f>
        <v/>
      </c>
      <c r="D19" s="1" t="str">
        <f>IF('Skill Index'!I17=7,'Skill Index'!A17,"")</f>
        <v/>
      </c>
      <c r="E19" s="1" t="str">
        <f>IF('Skill Index'!I17=6,'Skill Index'!A17,"")</f>
        <v/>
      </c>
      <c r="F19" s="99" t="str">
        <f>IF('Skill Index'!I17&lt;6,'Skill Index'!A17,"")</f>
        <v/>
      </c>
      <c r="I19" s="98" t="str">
        <f>IF('Skill Index'!J17=10,'Skill Index'!A17,"")</f>
        <v/>
      </c>
      <c r="J19" s="1" t="str">
        <f>IF('Skill Index'!J17=9,'Skill Index'!A17,"")</f>
        <v/>
      </c>
      <c r="K19" s="1" t="str">
        <f>IF('Skill Index'!J17=8,'Skill Index'!A17,"")</f>
        <v/>
      </c>
      <c r="L19" s="1" t="str">
        <f>IF('Skill Index'!J17=7,'Skill Index'!A17,"")</f>
        <v/>
      </c>
      <c r="M19" s="1" t="str">
        <f>IF('Skill Index'!J17=6,'Skill Index'!A17,"")</f>
        <v/>
      </c>
      <c r="N19" s="99" t="str">
        <f>IF('Skill Index'!J17&lt;6,'Skill Index'!A17,"")</f>
        <v>Shreya Ramprakash</v>
      </c>
      <c r="Q19" s="98" t="str">
        <f>IF('Skill Index'!K17=10,'Skill Index'!A17,"")</f>
        <v/>
      </c>
      <c r="R19" s="1" t="str">
        <f>IF('Skill Index'!K17=9,'Skill Index'!A17,"")</f>
        <v/>
      </c>
      <c r="S19" s="1" t="str">
        <f>IF('Skill Index'!K17=8,'Skill Index'!A17,"")</f>
        <v/>
      </c>
      <c r="T19" s="1" t="str">
        <f>IF('Skill Index'!K17=7,'Skill Index'!A17,"")</f>
        <v/>
      </c>
      <c r="U19" s="1" t="str">
        <f>IF('Skill Index'!K17=6,'Skill Index'!A17,"")</f>
        <v/>
      </c>
      <c r="V19" s="99" t="str">
        <f>IF('Skill Index'!K17&lt;6,'Skill Index'!A17,"")</f>
        <v>Shreya Ramprakash</v>
      </c>
      <c r="Y19" s="98" t="str">
        <f>IF('Skill Index'!L17=10,'Skill Index'!A17,"")</f>
        <v/>
      </c>
      <c r="Z19" s="98" t="str">
        <f>IF('Skill Index'!L17=9,'Skill Index'!A17,"")</f>
        <v/>
      </c>
      <c r="AA19" s="98" t="str">
        <f>IF('Skill Index'!L17=8,'Skill Index'!A17,"")</f>
        <v/>
      </c>
      <c r="AB19" s="98" t="str">
        <f>IF('Skill Index'!L17=7,'Skill Index'!A17,"")</f>
        <v>Shreya Ramprakash</v>
      </c>
      <c r="AC19" s="98" t="str">
        <f>IF('Skill Index'!L17=6,'Skill Index'!A17,"")</f>
        <v/>
      </c>
      <c r="AD19" s="98" t="str">
        <f>IF('Skill Index'!L17&lt;6,'Skill Index'!A17,"")</f>
        <v/>
      </c>
    </row>
    <row r="20" spans="1:30" x14ac:dyDescent="0.35">
      <c r="A20" s="98" t="str">
        <f>IF('Skill Index'!I18=10,'Skill Index'!A18,"")</f>
        <v/>
      </c>
      <c r="B20" s="1" t="str">
        <f>IF('Skill Index'!I18=9,'Skill Index'!A18,"")</f>
        <v>Shreyas Risodkar</v>
      </c>
      <c r="C20" s="1" t="str">
        <f>IF('Skill Index'!I18=8,'Skill Index'!A18,"")</f>
        <v/>
      </c>
      <c r="D20" s="1" t="str">
        <f>IF('Skill Index'!I18=7,'Skill Index'!A18,"")</f>
        <v/>
      </c>
      <c r="E20" s="1" t="str">
        <f>IF('Skill Index'!I18=6,'Skill Index'!A18,"")</f>
        <v/>
      </c>
      <c r="F20" s="99" t="str">
        <f>IF('Skill Index'!I18&lt;6,'Skill Index'!A18,"")</f>
        <v/>
      </c>
      <c r="I20" s="98" t="str">
        <f>IF('Skill Index'!J18=10,'Skill Index'!A18,"")</f>
        <v/>
      </c>
      <c r="J20" s="1" t="str">
        <f>IF('Skill Index'!J18=9,'Skill Index'!A18,"")</f>
        <v/>
      </c>
      <c r="K20" s="1" t="str">
        <f>IF('Skill Index'!J18=8,'Skill Index'!A18,"")</f>
        <v/>
      </c>
      <c r="L20" s="1" t="str">
        <f>IF('Skill Index'!J18=7,'Skill Index'!A18,"")</f>
        <v/>
      </c>
      <c r="M20" s="1" t="str">
        <f>IF('Skill Index'!J18=6,'Skill Index'!A18,"")</f>
        <v/>
      </c>
      <c r="N20" s="99" t="str">
        <f>IF('Skill Index'!J18&lt;6,'Skill Index'!A18,"")</f>
        <v>Shreyas Risodkar</v>
      </c>
      <c r="Q20" s="98" t="str">
        <f>IF('Skill Index'!K18=10,'Skill Index'!A18,"")</f>
        <v/>
      </c>
      <c r="R20" s="1" t="str">
        <f>IF('Skill Index'!K18=9,'Skill Index'!A18,"")</f>
        <v/>
      </c>
      <c r="S20" s="1" t="str">
        <f>IF('Skill Index'!K18=8,'Skill Index'!A18,"")</f>
        <v/>
      </c>
      <c r="T20" s="1" t="str">
        <f>IF('Skill Index'!K18=7,'Skill Index'!A18,"")</f>
        <v/>
      </c>
      <c r="U20" s="1" t="str">
        <f>IF('Skill Index'!K18=6,'Skill Index'!A18,"")</f>
        <v/>
      </c>
      <c r="V20" s="99" t="str">
        <f>IF('Skill Index'!K18&lt;6,'Skill Index'!A18,"")</f>
        <v>Shreyas Risodkar</v>
      </c>
      <c r="Y20" s="98" t="str">
        <f>IF('Skill Index'!L18=10,'Skill Index'!A18,"")</f>
        <v/>
      </c>
      <c r="Z20" s="98" t="str">
        <f>IF('Skill Index'!L18=9,'Skill Index'!A18,"")</f>
        <v/>
      </c>
      <c r="AA20" s="98" t="str">
        <f>IF('Skill Index'!L18=8,'Skill Index'!A18,"")</f>
        <v>Shreyas Risodkar</v>
      </c>
      <c r="AB20" s="98" t="str">
        <f>IF('Skill Index'!L18=7,'Skill Index'!A18,"")</f>
        <v/>
      </c>
      <c r="AC20" s="98" t="str">
        <f>IF('Skill Index'!L18=6,'Skill Index'!A18,"")</f>
        <v/>
      </c>
      <c r="AD20" s="98" t="str">
        <f>IF('Skill Index'!L18&lt;6,'Skill Index'!A18,"")</f>
        <v/>
      </c>
    </row>
    <row r="21" spans="1:30" x14ac:dyDescent="0.35">
      <c r="A21" s="98" t="str">
        <f>IF('Skill Index'!I19=10,'Skill Index'!A19,"")</f>
        <v/>
      </c>
      <c r="B21" s="1" t="str">
        <f>IF('Skill Index'!I19=9,'Skill Index'!A19,"")</f>
        <v/>
      </c>
      <c r="C21" s="1" t="str">
        <f>IF('Skill Index'!I19=8,'Skill Index'!A19,"")</f>
        <v/>
      </c>
      <c r="D21" s="1" t="str">
        <f>IF('Skill Index'!I19=7,'Skill Index'!A19,"")</f>
        <v>Srikirti Raj</v>
      </c>
      <c r="E21" s="1" t="str">
        <f>IF('Skill Index'!I19=6,'Skill Index'!A19,"")</f>
        <v/>
      </c>
      <c r="F21" s="99" t="str">
        <f>IF('Skill Index'!I19&lt;6,'Skill Index'!A19,"")</f>
        <v/>
      </c>
      <c r="I21" s="98" t="str">
        <f>IF('Skill Index'!J19=10,'Skill Index'!A19,"")</f>
        <v/>
      </c>
      <c r="J21" s="1" t="str">
        <f>IF('Skill Index'!J19=9,'Skill Index'!A19,"")</f>
        <v/>
      </c>
      <c r="K21" s="1" t="str">
        <f>IF('Skill Index'!J19=8,'Skill Index'!A19,"")</f>
        <v/>
      </c>
      <c r="L21" s="1" t="str">
        <f>IF('Skill Index'!J19=7,'Skill Index'!A19,"")</f>
        <v/>
      </c>
      <c r="M21" s="1" t="str">
        <f>IF('Skill Index'!J19=6,'Skill Index'!A19,"")</f>
        <v>Srikirti Raj</v>
      </c>
      <c r="N21" s="99" t="str">
        <f>IF('Skill Index'!J19&lt;6,'Skill Index'!A19,"")</f>
        <v/>
      </c>
      <c r="Q21" s="98" t="str">
        <f>IF('Skill Index'!K19=10,'Skill Index'!A19,"")</f>
        <v/>
      </c>
      <c r="R21" s="1" t="str">
        <f>IF('Skill Index'!K19=9,'Skill Index'!A19,"")</f>
        <v/>
      </c>
      <c r="S21" s="1" t="str">
        <f>IF('Skill Index'!K19=8,'Skill Index'!A19,"")</f>
        <v/>
      </c>
      <c r="T21" s="1" t="str">
        <f>IF('Skill Index'!K19=7,'Skill Index'!A19,"")</f>
        <v/>
      </c>
      <c r="U21" s="1" t="str">
        <f>IF('Skill Index'!K19=6,'Skill Index'!A19,"")</f>
        <v>Srikirti Raj</v>
      </c>
      <c r="V21" s="99" t="str">
        <f>IF('Skill Index'!K19&lt;6,'Skill Index'!A19,"")</f>
        <v/>
      </c>
      <c r="Y21" s="98" t="str">
        <f>IF('Skill Index'!L19=10,'Skill Index'!A19,"")</f>
        <v/>
      </c>
      <c r="Z21" s="98" t="str">
        <f>IF('Skill Index'!L19=9,'Skill Index'!A19,"")</f>
        <v/>
      </c>
      <c r="AA21" s="98" t="str">
        <f>IF('Skill Index'!L19=8,'Skill Index'!A19,"")</f>
        <v/>
      </c>
      <c r="AB21" s="98" t="str">
        <f>IF('Skill Index'!L19=7,'Skill Index'!A19,"")</f>
        <v/>
      </c>
      <c r="AC21" s="98" t="str">
        <f>IF('Skill Index'!L19=6,'Skill Index'!A19,"")</f>
        <v>Srikirti Raj</v>
      </c>
      <c r="AD21" s="98" t="str">
        <f>IF('Skill Index'!L19&lt;6,'Skill Index'!A19,"")</f>
        <v/>
      </c>
    </row>
    <row r="22" spans="1:30" x14ac:dyDescent="0.35">
      <c r="A22" s="98" t="str">
        <f>IF('Skill Index'!I20=10,'Skill Index'!A20,"")</f>
        <v/>
      </c>
      <c r="B22" s="1" t="str">
        <f>IF('Skill Index'!I20=9,'Skill Index'!A20,"")</f>
        <v/>
      </c>
      <c r="C22" s="1" t="str">
        <f>IF('Skill Index'!I20=8,'Skill Index'!A20,"")</f>
        <v/>
      </c>
      <c r="D22" s="1" t="str">
        <f>IF('Skill Index'!I20=7,'Skill Index'!A20,"")</f>
        <v>Swetha KJ</v>
      </c>
      <c r="E22" s="1" t="str">
        <f>IF('Skill Index'!I20=6,'Skill Index'!A20,"")</f>
        <v/>
      </c>
      <c r="F22" s="99" t="str">
        <f>IF('Skill Index'!I20&lt;6,'Skill Index'!A20,"")</f>
        <v/>
      </c>
      <c r="I22" s="98" t="str">
        <f>IF('Skill Index'!J20=10,'Skill Index'!A20,"")</f>
        <v/>
      </c>
      <c r="J22" s="1" t="str">
        <f>IF('Skill Index'!J20=9,'Skill Index'!A20,"")</f>
        <v/>
      </c>
      <c r="K22" s="1" t="str">
        <f>IF('Skill Index'!J20=8,'Skill Index'!A20,"")</f>
        <v/>
      </c>
      <c r="L22" s="1" t="str">
        <f>IF('Skill Index'!J20=7,'Skill Index'!A20,"")</f>
        <v/>
      </c>
      <c r="M22" s="1" t="str">
        <f>IF('Skill Index'!J20=6,'Skill Index'!A20,"")</f>
        <v/>
      </c>
      <c r="N22" s="99" t="str">
        <f>IF('Skill Index'!J20&lt;6,'Skill Index'!A20,"")</f>
        <v>Swetha KJ</v>
      </c>
      <c r="Q22" s="98" t="str">
        <f>IF('Skill Index'!K20=10,'Skill Index'!A20,"")</f>
        <v/>
      </c>
      <c r="R22" s="1" t="str">
        <f>IF('Skill Index'!K20=9,'Skill Index'!A20,"")</f>
        <v/>
      </c>
      <c r="S22" s="1" t="str">
        <f>IF('Skill Index'!K20=8,'Skill Index'!A20,"")</f>
        <v/>
      </c>
      <c r="T22" s="1" t="str">
        <f>IF('Skill Index'!K20=7,'Skill Index'!A20,"")</f>
        <v/>
      </c>
      <c r="U22" s="1" t="str">
        <f>IF('Skill Index'!K20=6,'Skill Index'!A20,"")</f>
        <v/>
      </c>
      <c r="V22" s="99" t="str">
        <f>IF('Skill Index'!K20&lt;6,'Skill Index'!A20,"")</f>
        <v>Swetha KJ</v>
      </c>
      <c r="Y22" s="98" t="str">
        <f>IF('Skill Index'!L20=10,'Skill Index'!A20,"")</f>
        <v/>
      </c>
      <c r="Z22" s="98" t="str">
        <f>IF('Skill Index'!L20=9,'Skill Index'!A20,"")</f>
        <v/>
      </c>
      <c r="AA22" s="98" t="str">
        <f>IF('Skill Index'!L20=8,'Skill Index'!A20,"")</f>
        <v/>
      </c>
      <c r="AB22" s="98" t="str">
        <f>IF('Skill Index'!L20=7,'Skill Index'!A20,"")</f>
        <v/>
      </c>
      <c r="AC22" s="98" t="str">
        <f>IF('Skill Index'!L20=6,'Skill Index'!A20,"")</f>
        <v>Swetha KJ</v>
      </c>
      <c r="AD22" s="98" t="str">
        <f>IF('Skill Index'!L20&lt;6,'Skill Index'!A20,"")</f>
        <v/>
      </c>
    </row>
  </sheetData>
  <mergeCells count="4">
    <mergeCell ref="A1:F2"/>
    <mergeCell ref="Y1:AD2"/>
    <mergeCell ref="Q1:V2"/>
    <mergeCell ref="I1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5BF4-22FA-4766-AC17-0B065553C806}">
  <sheetPr codeName="Sheet16"/>
  <dimension ref="A1:F22"/>
  <sheetViews>
    <sheetView workbookViewId="0">
      <selection activeCell="F11" sqref="F11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248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Index'!M4=10,'Skill Index'!A4,"")</f>
        <v/>
      </c>
      <c r="B6" s="1" t="str">
        <f>IF('Skill Index'!M4=9,'Skill Index'!A4,"")</f>
        <v/>
      </c>
      <c r="C6" s="1" t="str">
        <f>IF('Skill Index'!M4=8,'Skill Index'!A4,"")</f>
        <v/>
      </c>
      <c r="D6" s="1" t="str">
        <f>IF('Skill Index'!M4=7,'Skill Index'!A4,"")</f>
        <v/>
      </c>
      <c r="E6" s="1" t="str">
        <f>IF('Skill Index'!M4=6,'Skill Index'!A4,"")</f>
        <v/>
      </c>
      <c r="F6" s="1" t="str">
        <f>IF('Skill Index'!M4&lt;6,'Skill Index'!A4,"")</f>
        <v>Ankit Rajput</v>
      </c>
    </row>
    <row r="7" spans="1:6" x14ac:dyDescent="0.35">
      <c r="A7" s="1" t="str">
        <f>IF('Skill Index'!M5=10,'Skill Index'!A5,"")</f>
        <v/>
      </c>
      <c r="B7" s="1" t="str">
        <f>IF('Skill Index'!M5=9,'Skill Index'!A5,"")</f>
        <v/>
      </c>
      <c r="C7" s="1" t="str">
        <f>IF('Skill Index'!M5=8,'Skill Index'!A5,"")</f>
        <v/>
      </c>
      <c r="D7" s="1" t="str">
        <f>IF('Skill Index'!M5=7,'Skill Index'!A5,"")</f>
        <v/>
      </c>
      <c r="E7" s="1" t="str">
        <f>IF('Skill Index'!M5=6,'Skill Index'!A5,"")</f>
        <v/>
      </c>
      <c r="F7" s="1" t="str">
        <f>IF('Skill Index'!M5&lt;6,'Skill Index'!A5,"")</f>
        <v>Anusha Gunda</v>
      </c>
    </row>
    <row r="8" spans="1:6" x14ac:dyDescent="0.35">
      <c r="A8" s="1" t="str">
        <f>IF('Skill Index'!M6=10,'Skill Index'!A6,"")</f>
        <v/>
      </c>
      <c r="B8" s="1" t="str">
        <f>IF('Skill Index'!M6=9,'Skill Index'!A6,"")</f>
        <v/>
      </c>
      <c r="C8" s="1" t="str">
        <f>IF('Skill Index'!M6=8,'Skill Index'!A6,"")</f>
        <v/>
      </c>
      <c r="D8" s="1" t="str">
        <f>IF('Skill Index'!M6=7,'Skill Index'!A6,"")</f>
        <v/>
      </c>
      <c r="E8" s="1" t="str">
        <f>IF('Skill Index'!M6=6,'Skill Index'!A6,"")</f>
        <v/>
      </c>
      <c r="F8" s="1" t="str">
        <f>IF('Skill Index'!M6&lt;6,'Skill Index'!A6,"")</f>
        <v>Arun Kumar</v>
      </c>
    </row>
    <row r="9" spans="1:6" x14ac:dyDescent="0.35">
      <c r="A9" s="1" t="str">
        <f>IF('Skill Index'!M7=10,'Skill Index'!A7,"")</f>
        <v/>
      </c>
      <c r="B9" s="1" t="str">
        <f>IF('Skill Index'!M7=9,'Skill Index'!A7,"")</f>
        <v/>
      </c>
      <c r="C9" s="1" t="str">
        <f>IF('Skill Index'!M7=8,'Skill Index'!A7,"")</f>
        <v/>
      </c>
      <c r="D9" s="1" t="str">
        <f>IF('Skill Index'!M7=7,'Skill Index'!A7,"")</f>
        <v/>
      </c>
      <c r="E9" s="1" t="str">
        <f>IF('Skill Index'!M7=6,'Skill Index'!A7,"")</f>
        <v/>
      </c>
      <c r="F9" s="1" t="str">
        <f>IF('Skill Index'!M7&lt;6,'Skill Index'!A7,"")</f>
        <v>Ashraya H D</v>
      </c>
    </row>
    <row r="10" spans="1:6" x14ac:dyDescent="0.35">
      <c r="A10" s="1" t="str">
        <f>IF('Skill Index'!M8=10,'Skill Index'!A8,"")</f>
        <v/>
      </c>
      <c r="B10" s="1" t="str">
        <f>IF('Skill Index'!M8=9,'Skill Index'!A8,"")</f>
        <v/>
      </c>
      <c r="C10" s="1" t="str">
        <f>IF('Skill Index'!M8=8,'Skill Index'!A8,"")</f>
        <v/>
      </c>
      <c r="D10" s="1" t="str">
        <f>IF('Skill Index'!M8=7,'Skill Index'!A8,"")</f>
        <v/>
      </c>
      <c r="E10" s="1" t="str">
        <f>IF('Skill Index'!M8=6,'Skill Index'!A8,"")</f>
        <v/>
      </c>
      <c r="F10" s="1" t="str">
        <f>IF('Skill Index'!M8&lt;6,'Skill Index'!A8,"")</f>
        <v>Jeet Doshi</v>
      </c>
    </row>
    <row r="11" spans="1:6" x14ac:dyDescent="0.35">
      <c r="A11" s="1" t="str">
        <f>IF('Skill Index'!M9=10,'Skill Index'!A9,"")</f>
        <v/>
      </c>
      <c r="B11" s="1" t="str">
        <f>IF('Skill Index'!M9=9,'Skill Index'!A9,"")</f>
        <v/>
      </c>
      <c r="C11" s="1" t="str">
        <f>IF('Skill Index'!M9=8,'Skill Index'!A9,"")</f>
        <v/>
      </c>
      <c r="D11" s="1" t="str">
        <f>IF('Skill Index'!M9=7,'Skill Index'!A9,"")</f>
        <v/>
      </c>
      <c r="E11" s="1" t="str">
        <f>IF('Skill Index'!M9=6,'Skill Index'!A9,"")</f>
        <v/>
      </c>
      <c r="F11" s="1" t="str">
        <f>IF('Skill Index'!M9&lt;6,'Skill Index'!A9,"")</f>
        <v>Mahesh Kumar</v>
      </c>
    </row>
    <row r="12" spans="1:6" x14ac:dyDescent="0.35">
      <c r="A12" s="1" t="str">
        <f>IF('Skill Index'!M10=10,'Skill Index'!A10,"")</f>
        <v/>
      </c>
      <c r="B12" s="1" t="str">
        <f>IF('Skill Index'!M10=9,'Skill Index'!A10,"")</f>
        <v/>
      </c>
      <c r="C12" s="1" t="str">
        <f>IF('Skill Index'!M10=8,'Skill Index'!A10,"")</f>
        <v>Nilekha Repaka</v>
      </c>
      <c r="D12" s="1" t="str">
        <f>IF('Skill Index'!M10=7,'Skill Index'!A10,"")</f>
        <v/>
      </c>
      <c r="E12" s="1" t="str">
        <f>IF('Skill Index'!M10=6,'Skill Index'!A10,"")</f>
        <v/>
      </c>
      <c r="F12" s="1" t="str">
        <f>IF('Skill Index'!M10&lt;6,'Skill Index'!A10,"")</f>
        <v/>
      </c>
    </row>
    <row r="13" spans="1:6" x14ac:dyDescent="0.35">
      <c r="A13" s="1" t="str">
        <f>IF('Skill Index'!M11=10,'Skill Index'!A11,"")</f>
        <v/>
      </c>
      <c r="B13" s="1" t="str">
        <f>IF('Skill Index'!M11=9,'Skill Index'!A11,"")</f>
        <v/>
      </c>
      <c r="C13" s="1" t="str">
        <f>IF('Skill Index'!M11=8,'Skill Index'!A11,"")</f>
        <v>Pawan Rathore</v>
      </c>
      <c r="D13" s="1" t="str">
        <f>IF('Skill Index'!M11=7,'Skill Index'!A11,"")</f>
        <v/>
      </c>
      <c r="E13" s="1" t="str">
        <f>IF('Skill Index'!M11=6,'Skill Index'!A11,"")</f>
        <v/>
      </c>
      <c r="F13" s="1" t="str">
        <f>IF('Skill Index'!M11&lt;6,'Skill Index'!A11,"")</f>
        <v/>
      </c>
    </row>
    <row r="14" spans="1:6" x14ac:dyDescent="0.35">
      <c r="A14" s="1" t="str">
        <f>IF('Skill Index'!M12=10,'Skill Index'!A12,"")</f>
        <v/>
      </c>
      <c r="B14" s="1" t="str">
        <f>IF('Skill Index'!M12=9,'Skill Index'!A12,"")</f>
        <v/>
      </c>
      <c r="C14" s="1" t="str">
        <f>IF('Skill Index'!M12=8,'Skill Index'!A12,"")</f>
        <v/>
      </c>
      <c r="D14" s="1" t="str">
        <f>IF('Skill Index'!M12=7,'Skill Index'!A12,"")</f>
        <v/>
      </c>
      <c r="E14" s="1" t="str">
        <f>IF('Skill Index'!M12=6,'Skill Index'!A12,"")</f>
        <v>Priyesh Tiwari</v>
      </c>
      <c r="F14" s="1" t="str">
        <f>IF('Skill Index'!M12&lt;6,'Skill Index'!A12,"")</f>
        <v/>
      </c>
    </row>
    <row r="15" spans="1:6" x14ac:dyDescent="0.35">
      <c r="A15" s="1" t="str">
        <f>IF('Skill Index'!M13=10,'Skill Index'!A13,"")</f>
        <v/>
      </c>
      <c r="B15" s="1" t="str">
        <f>IF('Skill Index'!M13=9,'Skill Index'!A13,"")</f>
        <v/>
      </c>
      <c r="C15" s="1" t="str">
        <f>IF('Skill Index'!M13=8,'Skill Index'!A13,"")</f>
        <v/>
      </c>
      <c r="D15" s="1" t="str">
        <f>IF('Skill Index'!M13=7,'Skill Index'!A13,"")</f>
        <v/>
      </c>
      <c r="E15" s="1" t="str">
        <f>IF('Skill Index'!M13=6,'Skill Index'!A13,"")</f>
        <v>Rahul Kumar</v>
      </c>
      <c r="F15" s="1" t="str">
        <f>IF('Skill Index'!M13&lt;6,'Skill Index'!A13,"")</f>
        <v/>
      </c>
    </row>
    <row r="16" spans="1:6" x14ac:dyDescent="0.35">
      <c r="A16" s="1" t="str">
        <f>IF('Skill Index'!M14=10,'Skill Index'!A14,"")</f>
        <v/>
      </c>
      <c r="B16" s="1" t="str">
        <f>IF('Skill Index'!M14=9,'Skill Index'!A14,"")</f>
        <v/>
      </c>
      <c r="C16" s="1" t="str">
        <f>IF('Skill Index'!M14=8,'Skill Index'!A14,"")</f>
        <v/>
      </c>
      <c r="D16" s="1" t="str">
        <f>IF('Skill Index'!M14=7,'Skill Index'!A14,"")</f>
        <v/>
      </c>
      <c r="E16" s="1" t="str">
        <f>IF('Skill Index'!M14=6,'Skill Index'!A14,"")</f>
        <v/>
      </c>
      <c r="F16" s="1" t="str">
        <f>IF('Skill Index'!M14&lt;6,'Skill Index'!A14,"")</f>
        <v>Ramkrishna Kadiya</v>
      </c>
    </row>
    <row r="17" spans="1:6" x14ac:dyDescent="0.35">
      <c r="A17" s="1" t="str">
        <f>IF('Skill Index'!M15=10,'Skill Index'!A15,"")</f>
        <v/>
      </c>
      <c r="B17" s="1" t="str">
        <f>IF('Skill Index'!M15=9,'Skill Index'!A15,"")</f>
        <v/>
      </c>
      <c r="C17" s="1" t="str">
        <f>IF('Skill Index'!M15=8,'Skill Index'!A15,"")</f>
        <v/>
      </c>
      <c r="D17" s="1" t="str">
        <f>IF('Skill Index'!M15=7,'Skill Index'!A15,"")</f>
        <v>Revanth Anguluri</v>
      </c>
      <c r="E17" s="1" t="str">
        <f>IF('Skill Index'!M15=6,'Skill Index'!A15,"")</f>
        <v/>
      </c>
      <c r="F17" s="1" t="str">
        <f>IF('Skill Index'!M15&lt;6,'Skill Index'!A15,"")</f>
        <v/>
      </c>
    </row>
    <row r="18" spans="1:6" x14ac:dyDescent="0.35">
      <c r="A18" s="1" t="str">
        <f>IF('Skill Index'!M16=10,'Skill Index'!A16,"")</f>
        <v/>
      </c>
      <c r="B18" s="1" t="str">
        <f>IF('Skill Index'!M16=9,'Skill Index'!A16,"")</f>
        <v/>
      </c>
      <c r="C18" s="1" t="str">
        <f>IF('Skill Index'!M16=8,'Skill Index'!A16,"")</f>
        <v>Sagar Sable</v>
      </c>
      <c r="D18" s="1" t="str">
        <f>IF('Skill Index'!M16=7,'Skill Index'!A16,"")</f>
        <v/>
      </c>
      <c r="E18" s="1" t="str">
        <f>IF('Skill Index'!M16=6,'Skill Index'!A16,"")</f>
        <v/>
      </c>
      <c r="F18" s="1" t="str">
        <f>IF('Skill Index'!M16&lt;6,'Skill Index'!A16,"")</f>
        <v/>
      </c>
    </row>
    <row r="19" spans="1:6" x14ac:dyDescent="0.35">
      <c r="A19" s="1" t="str">
        <f>IF('Skill Index'!M17=10,'Skill Index'!A17,"")</f>
        <v/>
      </c>
      <c r="B19" s="1" t="str">
        <f>IF('Skill Index'!M17=9,'Skill Index'!A17,"")</f>
        <v/>
      </c>
      <c r="C19" s="1" t="str">
        <f>IF('Skill Index'!M17=8,'Skill Index'!A17,"")</f>
        <v/>
      </c>
      <c r="D19" s="1" t="str">
        <f>IF('Skill Index'!M17=7,'Skill Index'!A17,"")</f>
        <v>Shreya Ramprakash</v>
      </c>
      <c r="E19" s="1" t="str">
        <f>IF('Skill Index'!M17=6,'Skill Index'!A17,"")</f>
        <v/>
      </c>
      <c r="F19" s="1" t="str">
        <f>IF('Skill Index'!M17&lt;6,'Skill Index'!A17,"")</f>
        <v/>
      </c>
    </row>
    <row r="20" spans="1:6" x14ac:dyDescent="0.35">
      <c r="A20" s="1" t="str">
        <f>IF('Skill Index'!M18=10,'Skill Index'!A18,"")</f>
        <v/>
      </c>
      <c r="B20" s="1" t="str">
        <f>IF('Skill Index'!M18=9,'Skill Index'!A18,"")</f>
        <v/>
      </c>
      <c r="C20" s="1" t="str">
        <f>IF('Skill Index'!M18=8,'Skill Index'!A18,"")</f>
        <v>Shreyas Risodkar</v>
      </c>
      <c r="D20" s="1" t="str">
        <f>IF('Skill Index'!M18=7,'Skill Index'!A18,"")</f>
        <v/>
      </c>
      <c r="E20" s="1" t="str">
        <f>IF('Skill Index'!M18=6,'Skill Index'!A18,"")</f>
        <v/>
      </c>
      <c r="F20" s="1" t="str">
        <f>IF('Skill Index'!M18&lt;6,'Skill Index'!A18,"")</f>
        <v/>
      </c>
    </row>
    <row r="21" spans="1:6" x14ac:dyDescent="0.35">
      <c r="A21" s="1" t="str">
        <f>IF('Skill Index'!M19=10,'Skill Index'!A19,"")</f>
        <v/>
      </c>
      <c r="B21" s="1" t="str">
        <f>IF('Skill Index'!M19=9,'Skill Index'!A19,"")</f>
        <v/>
      </c>
      <c r="C21" s="1" t="str">
        <f>IF('Skill Index'!M19=8,'Skill Index'!A19,"")</f>
        <v/>
      </c>
      <c r="D21" s="1" t="str">
        <f>IF('Skill Index'!M19=7,'Skill Index'!A19,"")</f>
        <v/>
      </c>
      <c r="E21" s="1" t="str">
        <f>IF('Skill Index'!M19=6,'Skill Index'!A19,"")</f>
        <v/>
      </c>
      <c r="F21" s="1" t="str">
        <f>IF('Skill Index'!M19&lt;6,'Skill Index'!A19,"")</f>
        <v>Srikirti Raj</v>
      </c>
    </row>
    <row r="22" spans="1:6" x14ac:dyDescent="0.35">
      <c r="A22" s="1" t="str">
        <f>IF('Skill Index'!M20=10,'Skill Index'!A20,"")</f>
        <v/>
      </c>
      <c r="B22" s="1" t="str">
        <f>IF('Skill Index'!M20=9,'Skill Index'!A20,"")</f>
        <v/>
      </c>
      <c r="C22" s="1" t="str">
        <f>IF('Skill Index'!M20=8,'Skill Index'!A20,"")</f>
        <v/>
      </c>
      <c r="D22" s="1" t="str">
        <f>IF('Skill Index'!M20=7,'Skill Index'!A20,"")</f>
        <v/>
      </c>
      <c r="E22" s="1" t="str">
        <f>IF('Skill Index'!M20=6,'Skill Index'!A20,"")</f>
        <v/>
      </c>
      <c r="F22" s="1" t="str">
        <f>IF('Skill Index'!M20&lt;6,'Skill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24FF-393E-4E02-91E7-572232BB1E83}">
  <sheetPr codeName="Sheet17"/>
  <dimension ref="A1:N22"/>
  <sheetViews>
    <sheetView topLeftCell="B1" workbookViewId="0">
      <selection activeCell="G13" sqref="G13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8.26953125" bestFit="1" customWidth="1"/>
    <col min="11" max="11" width="16.6328125" bestFit="1" customWidth="1"/>
    <col min="12" max="12" width="17.453125" bestFit="1" customWidth="1"/>
    <col min="13" max="13" width="13.36328125" bestFit="1" customWidth="1"/>
    <col min="14" max="14" width="16.81640625" bestFit="1" customWidth="1"/>
  </cols>
  <sheetData>
    <row r="1" spans="1:14" ht="14.5" customHeight="1" x14ac:dyDescent="0.35">
      <c r="A1" s="87" t="s">
        <v>249</v>
      </c>
      <c r="B1" s="88"/>
      <c r="C1" s="88"/>
      <c r="D1" s="88"/>
      <c r="E1" s="88"/>
      <c r="F1" s="89"/>
      <c r="I1" s="87" t="s">
        <v>269</v>
      </c>
      <c r="J1" s="88"/>
      <c r="K1" s="88"/>
      <c r="L1" s="88"/>
      <c r="M1" s="88"/>
      <c r="N1" s="89"/>
    </row>
    <row r="2" spans="1:14" ht="14.5" customHeight="1" x14ac:dyDescent="0.35">
      <c r="A2" s="90"/>
      <c r="B2" s="91"/>
      <c r="C2" s="91"/>
      <c r="D2" s="91"/>
      <c r="E2" s="91"/>
      <c r="F2" s="92"/>
      <c r="I2" s="90"/>
      <c r="J2" s="91"/>
      <c r="K2" s="91"/>
      <c r="L2" s="91"/>
      <c r="M2" s="91"/>
      <c r="N2" s="92"/>
    </row>
    <row r="3" spans="1:14" x14ac:dyDescent="0.35">
      <c r="A3" s="93"/>
      <c r="B3" s="94"/>
      <c r="C3" s="94"/>
      <c r="D3" s="94"/>
      <c r="E3" s="94"/>
      <c r="F3" s="95"/>
      <c r="I3" s="93"/>
      <c r="J3" s="94"/>
      <c r="K3" s="94"/>
      <c r="L3" s="94"/>
      <c r="M3" s="94"/>
      <c r="N3" s="95"/>
    </row>
    <row r="4" spans="1:14" x14ac:dyDescent="0.35">
      <c r="A4" s="93"/>
      <c r="B4" s="94"/>
      <c r="C4" s="94"/>
      <c r="D4" s="94"/>
      <c r="E4" s="94"/>
      <c r="F4" s="95"/>
      <c r="I4" s="93"/>
      <c r="J4" s="94"/>
      <c r="K4" s="94"/>
      <c r="L4" s="94"/>
      <c r="M4" s="94"/>
      <c r="N4" s="95"/>
    </row>
    <row r="5" spans="1:14" x14ac:dyDescent="0.35">
      <c r="A5" s="96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97" t="s">
        <v>286</v>
      </c>
      <c r="I5" s="96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97" t="s">
        <v>286</v>
      </c>
    </row>
    <row r="6" spans="1:14" x14ac:dyDescent="0.35">
      <c r="A6" s="98" t="str">
        <f>IF('Skill Index'!N4=10,'Skill Index'!A4,"")</f>
        <v/>
      </c>
      <c r="B6" s="1" t="str">
        <f>IF('Skill Index'!N4=9,'Skill Index'!A4,"")</f>
        <v/>
      </c>
      <c r="C6" s="1" t="str">
        <f>IF('Skill Index'!N4=8,'Skill Index'!A4,"")</f>
        <v>Ankit Rajput</v>
      </c>
      <c r="D6" s="1" t="str">
        <f>IF('Skill Index'!N4=7,'Skill Index'!A4,"")</f>
        <v/>
      </c>
      <c r="E6" s="1" t="str">
        <f>IF('Skill Index'!N4=6,'Skill Index'!A4,"")</f>
        <v/>
      </c>
      <c r="F6" s="99" t="str">
        <f>IF('Skill Index'!N4&lt;6,'Skill Index'!A4,"")</f>
        <v/>
      </c>
      <c r="I6" s="98" t="str">
        <f>IF('Skill Index'!O4=10,'Skill Index'!A4,"")</f>
        <v/>
      </c>
      <c r="J6" s="1" t="str">
        <f>IF('Skill Index'!O4=9,'Skill Index'!A4,"")</f>
        <v/>
      </c>
      <c r="K6" s="1" t="str">
        <f>IF('Skill Index'!O4=8,'Skill Index'!A4,"")</f>
        <v>Ankit Rajput</v>
      </c>
      <c r="L6" s="1" t="str">
        <f>IF('Skill Index'!O4=7,'Skill Index'!A4,"")</f>
        <v/>
      </c>
      <c r="M6" s="1" t="str">
        <f>IF('Skill Index'!O4=6,'Skill Index'!A4,"")</f>
        <v/>
      </c>
      <c r="N6" s="99" t="str">
        <f>IF('Skill Index'!O4&lt;6,'Skill Index'!A4,"")</f>
        <v/>
      </c>
    </row>
    <row r="7" spans="1:14" x14ac:dyDescent="0.35">
      <c r="A7" s="98" t="str">
        <f>IF('Skill Index'!N5=10,'Skill Index'!A5,"")</f>
        <v/>
      </c>
      <c r="B7" s="1" t="str">
        <f>IF('Skill Index'!N5=9,'Skill Index'!A5,"")</f>
        <v/>
      </c>
      <c r="C7" s="1" t="str">
        <f>IF('Skill Index'!N5=8,'Skill Index'!A5,"")</f>
        <v/>
      </c>
      <c r="D7" s="1" t="str">
        <f>IF('Skill Index'!N5=7,'Skill Index'!A5,"")</f>
        <v/>
      </c>
      <c r="E7" s="1" t="str">
        <f>IF('Skill Index'!N5=6,'Skill Index'!A5,"")</f>
        <v>Anusha Gunda</v>
      </c>
      <c r="F7" s="99" t="str">
        <f>IF('Skill Index'!N5&lt;6,'Skill Index'!A5,"")</f>
        <v/>
      </c>
      <c r="I7" s="98" t="str">
        <f>IF('Skill Index'!O5=10,'Skill Index'!A5,"")</f>
        <v/>
      </c>
      <c r="J7" s="1" t="str">
        <f>IF('Skill Index'!O5=9,'Skill Index'!A5,"")</f>
        <v/>
      </c>
      <c r="K7" s="1" t="str">
        <f>IF('Skill Index'!O5=8,'Skill Index'!A5,"")</f>
        <v>Anusha Gunda</v>
      </c>
      <c r="L7" s="1" t="str">
        <f>IF('Skill Index'!O5=7,'Skill Index'!A5,"")</f>
        <v/>
      </c>
      <c r="M7" s="1" t="str">
        <f>IF('Skill Index'!O5=6,'Skill Index'!A5,"")</f>
        <v/>
      </c>
      <c r="N7" s="99" t="str">
        <f>IF('Skill Index'!O5&lt;6,'Skill Index'!A5,"")</f>
        <v/>
      </c>
    </row>
    <row r="8" spans="1:14" x14ac:dyDescent="0.35">
      <c r="A8" s="98" t="str">
        <f>IF('Skill Index'!N6=10,'Skill Index'!A6,"")</f>
        <v/>
      </c>
      <c r="B8" s="1" t="str">
        <f>IF('Skill Index'!N6=9,'Skill Index'!A6,"")</f>
        <v/>
      </c>
      <c r="C8" s="1" t="str">
        <f>IF('Skill Index'!N6=8,'Skill Index'!A6,"")</f>
        <v/>
      </c>
      <c r="D8" s="1" t="str">
        <f>IF('Skill Index'!N6=7,'Skill Index'!A6,"")</f>
        <v/>
      </c>
      <c r="E8" s="1" t="str">
        <f>IF('Skill Index'!N6=6,'Skill Index'!A6,"")</f>
        <v/>
      </c>
      <c r="F8" s="99" t="str">
        <f>IF('Skill Index'!N6&lt;6,'Skill Index'!A6,"")</f>
        <v>Arun Kumar</v>
      </c>
      <c r="I8" s="98" t="str">
        <f>IF('Skill Index'!O6=10,'Skill Index'!A6,"")</f>
        <v/>
      </c>
      <c r="J8" s="1" t="str">
        <f>IF('Skill Index'!O6=9,'Skill Index'!A6,"")</f>
        <v/>
      </c>
      <c r="K8" s="1" t="str">
        <f>IF('Skill Index'!O6=8,'Skill Index'!A6,"")</f>
        <v/>
      </c>
      <c r="L8" s="1" t="str">
        <f>IF('Skill Index'!O6=7,'Skill Index'!A6,"")</f>
        <v/>
      </c>
      <c r="M8" s="1" t="str">
        <f>IF('Skill Index'!O6=6,'Skill Index'!A6,"")</f>
        <v/>
      </c>
      <c r="N8" s="99" t="str">
        <f>IF('Skill Index'!O6&lt;6,'Skill Index'!A6,"")</f>
        <v>Arun Kumar</v>
      </c>
    </row>
    <row r="9" spans="1:14" x14ac:dyDescent="0.35">
      <c r="A9" s="98" t="str">
        <f>IF('Skill Index'!N7=10,'Skill Index'!A7,"")</f>
        <v/>
      </c>
      <c r="B9" s="1" t="str">
        <f>IF('Skill Index'!N7=9,'Skill Index'!A7,"")</f>
        <v/>
      </c>
      <c r="C9" s="1" t="str">
        <f>IF('Skill Index'!N7=8,'Skill Index'!A7,"")</f>
        <v/>
      </c>
      <c r="D9" s="1" t="str">
        <f>IF('Skill Index'!N7=7,'Skill Index'!A7,"")</f>
        <v/>
      </c>
      <c r="E9" s="1" t="str">
        <f>IF('Skill Index'!N7=6,'Skill Index'!A7,"")</f>
        <v>Ashraya H D</v>
      </c>
      <c r="F9" s="99" t="str">
        <f>IF('Skill Index'!N7&lt;6,'Skill Index'!A7,"")</f>
        <v/>
      </c>
      <c r="I9" s="98" t="str">
        <f>IF('Skill Index'!O7=10,'Skill Index'!A7,"")</f>
        <v/>
      </c>
      <c r="J9" s="1" t="str">
        <f>IF('Skill Index'!O7=9,'Skill Index'!A7,"")</f>
        <v/>
      </c>
      <c r="K9" s="1" t="str">
        <f>IF('Skill Index'!O7=8,'Skill Index'!A7,"")</f>
        <v>Ashraya H D</v>
      </c>
      <c r="L9" s="1" t="str">
        <f>IF('Skill Index'!O7=7,'Skill Index'!A7,"")</f>
        <v/>
      </c>
      <c r="M9" s="1" t="str">
        <f>IF('Skill Index'!O7=6,'Skill Index'!A7,"")</f>
        <v/>
      </c>
      <c r="N9" s="99" t="str">
        <f>IF('Skill Index'!O7&lt;6,'Skill Index'!A7,"")</f>
        <v/>
      </c>
    </row>
    <row r="10" spans="1:14" x14ac:dyDescent="0.35">
      <c r="A10" s="98" t="str">
        <f>IF('Skill Index'!N8=10,'Skill Index'!A8,"")</f>
        <v/>
      </c>
      <c r="B10" s="1" t="str">
        <f>IF('Skill Index'!N8=9,'Skill Index'!A8,"")</f>
        <v/>
      </c>
      <c r="C10" s="1" t="str">
        <f>IF('Skill Index'!N8=8,'Skill Index'!A8,"")</f>
        <v/>
      </c>
      <c r="D10" s="1" t="str">
        <f>IF('Skill Index'!N8=7,'Skill Index'!A8,"")</f>
        <v/>
      </c>
      <c r="E10" s="1" t="str">
        <f>IF('Skill Index'!N8=6,'Skill Index'!A8,"")</f>
        <v/>
      </c>
      <c r="F10" s="99" t="str">
        <f>IF('Skill Index'!N8&lt;6,'Skill Index'!A8,"")</f>
        <v>Jeet Doshi</v>
      </c>
      <c r="I10" s="98" t="str">
        <f>IF('Skill Index'!O8=10,'Skill Index'!A8,"")</f>
        <v/>
      </c>
      <c r="J10" s="1" t="str">
        <f>IF('Skill Index'!O8=9,'Skill Index'!A8,"")</f>
        <v/>
      </c>
      <c r="K10" s="1" t="str">
        <f>IF('Skill Index'!O8=8,'Skill Index'!A8,"")</f>
        <v/>
      </c>
      <c r="L10" s="1" t="str">
        <f>IF('Skill Index'!O8=7,'Skill Index'!A8,"")</f>
        <v/>
      </c>
      <c r="M10" s="1" t="str">
        <f>IF('Skill Index'!O8=6,'Skill Index'!A8,"")</f>
        <v/>
      </c>
      <c r="N10" s="99" t="str">
        <f>IF('Skill Index'!O8&lt;6,'Skill Index'!A8,"")</f>
        <v>Jeet Doshi</v>
      </c>
    </row>
    <row r="11" spans="1:14" x14ac:dyDescent="0.35">
      <c r="A11" s="98" t="str">
        <f>IF('Skill Index'!N9=10,'Skill Index'!A9,"")</f>
        <v/>
      </c>
      <c r="B11" s="1" t="str">
        <f>IF('Skill Index'!N9=9,'Skill Index'!A9,"")</f>
        <v/>
      </c>
      <c r="C11" s="1" t="str">
        <f>IF('Skill Index'!N9=8,'Skill Index'!A9,"")</f>
        <v/>
      </c>
      <c r="D11" s="1" t="str">
        <f>IF('Skill Index'!N9=7,'Skill Index'!A9,"")</f>
        <v/>
      </c>
      <c r="E11" s="1" t="str">
        <f>IF('Skill Index'!N9=6,'Skill Index'!A9,"")</f>
        <v/>
      </c>
      <c r="F11" s="99" t="str">
        <f>IF('Skill Index'!N9&lt;6,'Skill Index'!A9,"")</f>
        <v>Mahesh Kumar</v>
      </c>
      <c r="I11" s="98" t="str">
        <f>IF('Skill Index'!O9=10,'Skill Index'!A9,"")</f>
        <v/>
      </c>
      <c r="J11" s="1" t="str">
        <f>IF('Skill Index'!O9=9,'Skill Index'!A9,"")</f>
        <v/>
      </c>
      <c r="K11" s="1" t="str">
        <f>IF('Skill Index'!O9=8,'Skill Index'!A9,"")</f>
        <v/>
      </c>
      <c r="L11" s="1" t="str">
        <f>IF('Skill Index'!O9=7,'Skill Index'!A9,"")</f>
        <v/>
      </c>
      <c r="M11" s="1" t="str">
        <f>IF('Skill Index'!O9=6,'Skill Index'!A9,"")</f>
        <v/>
      </c>
      <c r="N11" s="99" t="str">
        <f>IF('Skill Index'!O9&lt;6,'Skill Index'!A9,"")</f>
        <v>Mahesh Kumar</v>
      </c>
    </row>
    <row r="12" spans="1:14" x14ac:dyDescent="0.35">
      <c r="A12" s="98" t="str">
        <f>IF('Skill Index'!N10=10,'Skill Index'!A10,"")</f>
        <v/>
      </c>
      <c r="B12" s="1" t="str">
        <f>IF('Skill Index'!N10=9,'Skill Index'!A10,"")</f>
        <v/>
      </c>
      <c r="C12" s="1" t="str">
        <f>IF('Skill Index'!N10=8,'Skill Index'!A10,"")</f>
        <v>Nilekha Repaka</v>
      </c>
      <c r="D12" s="1" t="str">
        <f>IF('Skill Index'!N10=7,'Skill Index'!A10,"")</f>
        <v/>
      </c>
      <c r="E12" s="1" t="str">
        <f>IF('Skill Index'!N10=6,'Skill Index'!A10,"")</f>
        <v/>
      </c>
      <c r="F12" s="99" t="str">
        <f>IF('Skill Index'!N10&lt;6,'Skill Index'!A10,"")</f>
        <v/>
      </c>
      <c r="I12" s="98" t="str">
        <f>IF('Skill Index'!O10=10,'Skill Index'!A10,"")</f>
        <v/>
      </c>
      <c r="J12" s="1" t="str">
        <f>IF('Skill Index'!O10=9,'Skill Index'!A10,"")</f>
        <v/>
      </c>
      <c r="K12" s="1" t="str">
        <f>IF('Skill Index'!O10=8,'Skill Index'!A10,"")</f>
        <v/>
      </c>
      <c r="L12" s="1" t="str">
        <f>IF('Skill Index'!O10=7,'Skill Index'!A10,"")</f>
        <v/>
      </c>
      <c r="M12" s="1" t="str">
        <f>IF('Skill Index'!O10=6,'Skill Index'!A10,"")</f>
        <v>Nilekha Repaka</v>
      </c>
      <c r="N12" s="99" t="str">
        <f>IF('Skill Index'!O10&lt;6,'Skill Index'!A10,"")</f>
        <v/>
      </c>
    </row>
    <row r="13" spans="1:14" x14ac:dyDescent="0.35">
      <c r="A13" s="98" t="str">
        <f>IF('Skill Index'!N11=10,'Skill Index'!A11,"")</f>
        <v/>
      </c>
      <c r="B13" s="1" t="str">
        <f>IF('Skill Index'!N11=9,'Skill Index'!A11,"")</f>
        <v/>
      </c>
      <c r="C13" s="1" t="str">
        <f>IF('Skill Index'!N11=8,'Skill Index'!A11,"")</f>
        <v>Pawan Rathore</v>
      </c>
      <c r="D13" s="1" t="str">
        <f>IF('Skill Index'!N11=7,'Skill Index'!A11,"")</f>
        <v/>
      </c>
      <c r="E13" s="1" t="str">
        <f>IF('Skill Index'!N11=6,'Skill Index'!A11,"")</f>
        <v/>
      </c>
      <c r="F13" s="99" t="str">
        <f>IF('Skill Index'!N11&lt;6,'Skill Index'!A11,"")</f>
        <v/>
      </c>
      <c r="I13" s="98" t="str">
        <f>IF('Skill Index'!O11=10,'Skill Index'!A11,"")</f>
        <v/>
      </c>
      <c r="J13" s="1" t="str">
        <f>IF('Skill Index'!O11=9,'Skill Index'!A11,"")</f>
        <v/>
      </c>
      <c r="K13" s="1" t="str">
        <f>IF('Skill Index'!O11=8,'Skill Index'!A11,"")</f>
        <v>Pawan Rathore</v>
      </c>
      <c r="L13" s="1" t="str">
        <f>IF('Skill Index'!O11=7,'Skill Index'!A11,"")</f>
        <v/>
      </c>
      <c r="M13" s="1" t="str">
        <f>IF('Skill Index'!O11=6,'Skill Index'!A11,"")</f>
        <v/>
      </c>
      <c r="N13" s="99" t="str">
        <f>IF('Skill Index'!O11&lt;6,'Skill Index'!A11,"")</f>
        <v/>
      </c>
    </row>
    <row r="14" spans="1:14" x14ac:dyDescent="0.35">
      <c r="A14" s="98" t="str">
        <f>IF('Skill Index'!N12=10,'Skill Index'!A12,"")</f>
        <v/>
      </c>
      <c r="B14" s="1" t="str">
        <f>IF('Skill Index'!N12=9,'Skill Index'!A12,"")</f>
        <v/>
      </c>
      <c r="C14" s="1" t="str">
        <f>IF('Skill Index'!N12=8,'Skill Index'!A12,"")</f>
        <v/>
      </c>
      <c r="D14" s="1" t="str">
        <f>IF('Skill Index'!N12=7,'Skill Index'!A12,"")</f>
        <v>Priyesh Tiwari</v>
      </c>
      <c r="E14" s="1" t="str">
        <f>IF('Skill Index'!N12=6,'Skill Index'!A12,"")</f>
        <v/>
      </c>
      <c r="F14" s="99" t="str">
        <f>IF('Skill Index'!N12&lt;6,'Skill Index'!A12,"")</f>
        <v/>
      </c>
      <c r="I14" s="98" t="str">
        <f>IF('Skill Index'!O12=10,'Skill Index'!A12,"")</f>
        <v/>
      </c>
      <c r="J14" s="1" t="str">
        <f>IF('Skill Index'!O12=9,'Skill Index'!A12,"")</f>
        <v/>
      </c>
      <c r="K14" s="1" t="str">
        <f>IF('Skill Index'!O12=8,'Skill Index'!A12,"")</f>
        <v/>
      </c>
      <c r="L14" s="1" t="str">
        <f>IF('Skill Index'!O12=7,'Skill Index'!A12,"")</f>
        <v>Priyesh Tiwari</v>
      </c>
      <c r="M14" s="1" t="str">
        <f>IF('Skill Index'!O12=6,'Skill Index'!A12,"")</f>
        <v/>
      </c>
      <c r="N14" s="99" t="str">
        <f>IF('Skill Index'!O12&lt;6,'Skill Index'!A12,"")</f>
        <v/>
      </c>
    </row>
    <row r="15" spans="1:14" x14ac:dyDescent="0.35">
      <c r="A15" s="98" t="str">
        <f>IF('Skill Index'!N13=10,'Skill Index'!A13,"")</f>
        <v/>
      </c>
      <c r="B15" s="1" t="str">
        <f>IF('Skill Index'!N13=9,'Skill Index'!A13,"")</f>
        <v/>
      </c>
      <c r="C15" s="1" t="str">
        <f>IF('Skill Index'!N13=8,'Skill Index'!A13,"")</f>
        <v>Rahul Kumar</v>
      </c>
      <c r="D15" s="1" t="str">
        <f>IF('Skill Index'!N13=7,'Skill Index'!A13,"")</f>
        <v/>
      </c>
      <c r="E15" s="1" t="str">
        <f>IF('Skill Index'!N13=6,'Skill Index'!A13,"")</f>
        <v/>
      </c>
      <c r="F15" s="99" t="str">
        <f>IF('Skill Index'!N13&lt;6,'Skill Index'!A13,"")</f>
        <v/>
      </c>
      <c r="I15" s="98" t="str">
        <f>IF('Skill Index'!O13=10,'Skill Index'!A13,"")</f>
        <v/>
      </c>
      <c r="J15" s="1" t="str">
        <f>IF('Skill Index'!O13=9,'Skill Index'!A13,"")</f>
        <v/>
      </c>
      <c r="K15" s="1" t="str">
        <f>IF('Skill Index'!O13=8,'Skill Index'!A13,"")</f>
        <v>Rahul Kumar</v>
      </c>
      <c r="L15" s="1" t="str">
        <f>IF('Skill Index'!O13=7,'Skill Index'!A13,"")</f>
        <v/>
      </c>
      <c r="M15" s="1" t="str">
        <f>IF('Skill Index'!O13=6,'Skill Index'!A13,"")</f>
        <v/>
      </c>
      <c r="N15" s="99" t="str">
        <f>IF('Skill Index'!O13&lt;6,'Skill Index'!A13,"")</f>
        <v/>
      </c>
    </row>
    <row r="16" spans="1:14" x14ac:dyDescent="0.35">
      <c r="A16" s="98" t="str">
        <f>IF('Skill Index'!N14=10,'Skill Index'!A14,"")</f>
        <v/>
      </c>
      <c r="B16" s="1" t="str">
        <f>IF('Skill Index'!N14=9,'Skill Index'!A14,"")</f>
        <v/>
      </c>
      <c r="C16" s="1" t="str">
        <f>IF('Skill Index'!N14=8,'Skill Index'!A14,"")</f>
        <v/>
      </c>
      <c r="D16" s="1" t="str">
        <f>IF('Skill Index'!N14=7,'Skill Index'!A14,"")</f>
        <v/>
      </c>
      <c r="E16" s="1" t="str">
        <f>IF('Skill Index'!N14=6,'Skill Index'!A14,"")</f>
        <v/>
      </c>
      <c r="F16" s="99" t="str">
        <f>IF('Skill Index'!N14&lt;6,'Skill Index'!A14,"")</f>
        <v>Ramkrishna Kadiya</v>
      </c>
      <c r="I16" s="98" t="str">
        <f>IF('Skill Index'!O14=10,'Skill Index'!A14,"")</f>
        <v/>
      </c>
      <c r="J16" s="1" t="str">
        <f>IF('Skill Index'!O14=9,'Skill Index'!A14,"")</f>
        <v/>
      </c>
      <c r="K16" s="1" t="str">
        <f>IF('Skill Index'!O14=8,'Skill Index'!A14,"")</f>
        <v/>
      </c>
      <c r="L16" s="1" t="str">
        <f>IF('Skill Index'!O14=7,'Skill Index'!A14,"")</f>
        <v>Ramkrishna Kadiya</v>
      </c>
      <c r="M16" s="1" t="str">
        <f>IF('Skill Index'!O14=6,'Skill Index'!A14,"")</f>
        <v/>
      </c>
      <c r="N16" s="99" t="str">
        <f>IF('Skill Index'!O14&lt;6,'Skill Index'!A14,"")</f>
        <v/>
      </c>
    </row>
    <row r="17" spans="1:14" x14ac:dyDescent="0.35">
      <c r="A17" s="98" t="str">
        <f>IF('Skill Index'!N15=10,'Skill Index'!A15,"")</f>
        <v/>
      </c>
      <c r="B17" s="1" t="str">
        <f>IF('Skill Index'!N15=9,'Skill Index'!A15,"")</f>
        <v/>
      </c>
      <c r="C17" s="1" t="str">
        <f>IF('Skill Index'!N15=8,'Skill Index'!A15,"")</f>
        <v>Revanth Anguluri</v>
      </c>
      <c r="D17" s="1" t="str">
        <f>IF('Skill Index'!N15=7,'Skill Index'!A15,"")</f>
        <v/>
      </c>
      <c r="E17" s="1" t="str">
        <f>IF('Skill Index'!N15=6,'Skill Index'!A15,"")</f>
        <v/>
      </c>
      <c r="F17" s="99" t="str">
        <f>IF('Skill Index'!N15&lt;6,'Skill Index'!A15,"")</f>
        <v/>
      </c>
      <c r="I17" s="98" t="str">
        <f>IF('Skill Index'!O15=10,'Skill Index'!A15,"")</f>
        <v/>
      </c>
      <c r="J17" s="1" t="str">
        <f>IF('Skill Index'!O15=9,'Skill Index'!A15,"")</f>
        <v/>
      </c>
      <c r="K17" s="1" t="str">
        <f>IF('Skill Index'!O15=8,'Skill Index'!A15,"")</f>
        <v>Revanth Anguluri</v>
      </c>
      <c r="L17" s="1" t="str">
        <f>IF('Skill Index'!O15=7,'Skill Index'!A15,"")</f>
        <v/>
      </c>
      <c r="M17" s="1" t="str">
        <f>IF('Skill Index'!O15=6,'Skill Index'!A15,"")</f>
        <v/>
      </c>
      <c r="N17" s="99" t="str">
        <f>IF('Skill Index'!O15&lt;6,'Skill Index'!A15,"")</f>
        <v/>
      </c>
    </row>
    <row r="18" spans="1:14" x14ac:dyDescent="0.35">
      <c r="A18" s="98" t="str">
        <f>IF('Skill Index'!N16=10,'Skill Index'!A16,"")</f>
        <v/>
      </c>
      <c r="B18" s="1" t="str">
        <f>IF('Skill Index'!N16=9,'Skill Index'!A16,"")</f>
        <v/>
      </c>
      <c r="C18" s="1" t="str">
        <f>IF('Skill Index'!N16=8,'Skill Index'!A16,"")</f>
        <v/>
      </c>
      <c r="D18" s="1" t="str">
        <f>IF('Skill Index'!N16=7,'Skill Index'!A16,"")</f>
        <v/>
      </c>
      <c r="E18" s="1" t="str">
        <f>IF('Skill Index'!N16=6,'Skill Index'!A16,"")</f>
        <v/>
      </c>
      <c r="F18" s="99" t="str">
        <f>IF('Skill Index'!N16&lt;6,'Skill Index'!A16,"")</f>
        <v>Sagar Sable</v>
      </c>
      <c r="I18" s="98" t="str">
        <f>IF('Skill Index'!O16=10,'Skill Index'!A16,"")</f>
        <v/>
      </c>
      <c r="J18" s="1" t="str">
        <f>IF('Skill Index'!O16=9,'Skill Index'!A16,"")</f>
        <v/>
      </c>
      <c r="K18" s="1" t="str">
        <f>IF('Skill Index'!O16=8,'Skill Index'!A16,"")</f>
        <v/>
      </c>
      <c r="L18" s="1" t="str">
        <f>IF('Skill Index'!O16=7,'Skill Index'!A16,"")</f>
        <v/>
      </c>
      <c r="M18" s="1" t="str">
        <f>IF('Skill Index'!O16=6,'Skill Index'!A16,"")</f>
        <v>Sagar Sable</v>
      </c>
      <c r="N18" s="99" t="str">
        <f>IF('Skill Index'!O16&lt;6,'Skill Index'!A16,"")</f>
        <v/>
      </c>
    </row>
    <row r="19" spans="1:14" x14ac:dyDescent="0.35">
      <c r="A19" s="98" t="str">
        <f>IF('Skill Index'!N17=10,'Skill Index'!A17,"")</f>
        <v/>
      </c>
      <c r="B19" s="1" t="str">
        <f>IF('Skill Index'!N17=9,'Skill Index'!A17,"")</f>
        <v/>
      </c>
      <c r="C19" s="1" t="str">
        <f>IF('Skill Index'!N17=8,'Skill Index'!A17,"")</f>
        <v/>
      </c>
      <c r="D19" s="1" t="str">
        <f>IF('Skill Index'!N17=7,'Skill Index'!A17,"")</f>
        <v/>
      </c>
      <c r="E19" s="1" t="str">
        <f>IF('Skill Index'!N17=6,'Skill Index'!A17,"")</f>
        <v/>
      </c>
      <c r="F19" s="99" t="str">
        <f>IF('Skill Index'!N17&lt;6,'Skill Index'!A17,"")</f>
        <v>Shreya Ramprakash</v>
      </c>
      <c r="I19" s="98" t="str">
        <f>IF('Skill Index'!O17=10,'Skill Index'!A17,"")</f>
        <v/>
      </c>
      <c r="J19" s="1" t="str">
        <f>IF('Skill Index'!O17=9,'Skill Index'!A17,"")</f>
        <v/>
      </c>
      <c r="K19" s="1" t="str">
        <f>IF('Skill Index'!O17=8,'Skill Index'!A17,"")</f>
        <v/>
      </c>
      <c r="L19" s="1" t="str">
        <f>IF('Skill Index'!O17=7,'Skill Index'!A17,"")</f>
        <v>Shreya Ramprakash</v>
      </c>
      <c r="M19" s="1" t="str">
        <f>IF('Skill Index'!O17=6,'Skill Index'!A17,"")</f>
        <v/>
      </c>
      <c r="N19" s="99" t="str">
        <f>IF('Skill Index'!O17&lt;6,'Skill Index'!A17,"")</f>
        <v/>
      </c>
    </row>
    <row r="20" spans="1:14" x14ac:dyDescent="0.35">
      <c r="A20" s="98" t="str">
        <f>IF('Skill Index'!N18=10,'Skill Index'!A18,"")</f>
        <v/>
      </c>
      <c r="B20" s="1" t="str">
        <f>IF('Skill Index'!N18=9,'Skill Index'!A18,"")</f>
        <v/>
      </c>
      <c r="C20" s="1" t="str">
        <f>IF('Skill Index'!N18=8,'Skill Index'!A18,"")</f>
        <v/>
      </c>
      <c r="D20" s="1" t="str">
        <f>IF('Skill Index'!N18=7,'Skill Index'!A18,"")</f>
        <v/>
      </c>
      <c r="E20" s="1" t="str">
        <f>IF('Skill Index'!N18=6,'Skill Index'!A18,"")</f>
        <v/>
      </c>
      <c r="F20" s="99" t="str">
        <f>IF('Skill Index'!N18&lt;6,'Skill Index'!A18,"")</f>
        <v>Shreyas Risodkar</v>
      </c>
      <c r="I20" s="98" t="str">
        <f>IF('Skill Index'!O18=10,'Skill Index'!A18,"")</f>
        <v/>
      </c>
      <c r="J20" s="1" t="str">
        <f>IF('Skill Index'!O18=9,'Skill Index'!A18,"")</f>
        <v/>
      </c>
      <c r="K20" s="1" t="str">
        <f>IF('Skill Index'!O18=8,'Skill Index'!A18,"")</f>
        <v/>
      </c>
      <c r="L20" s="1" t="str">
        <f>IF('Skill Index'!O18=7,'Skill Index'!A18,"")</f>
        <v>Shreyas Risodkar</v>
      </c>
      <c r="M20" s="1" t="str">
        <f>IF('Skill Index'!O18=6,'Skill Index'!A18,"")</f>
        <v/>
      </c>
      <c r="N20" s="99" t="str">
        <f>IF('Skill Index'!O18&lt;6,'Skill Index'!A18,"")</f>
        <v/>
      </c>
    </row>
    <row r="21" spans="1:14" x14ac:dyDescent="0.35">
      <c r="A21" s="98" t="str">
        <f>IF('Skill Index'!N19=10,'Skill Index'!A19,"")</f>
        <v/>
      </c>
      <c r="B21" s="1" t="str">
        <f>IF('Skill Index'!N19=9,'Skill Index'!A19,"")</f>
        <v/>
      </c>
      <c r="C21" s="1" t="str">
        <f>IF('Skill Index'!N19=8,'Skill Index'!A19,"")</f>
        <v/>
      </c>
      <c r="D21" s="1" t="str">
        <f>IF('Skill Index'!N19=7,'Skill Index'!A19,"")</f>
        <v/>
      </c>
      <c r="E21" s="1" t="str">
        <f>IF('Skill Index'!N19=6,'Skill Index'!A19,"")</f>
        <v>Srikirti Raj</v>
      </c>
      <c r="F21" s="99" t="str">
        <f>IF('Skill Index'!N19&lt;6,'Skill Index'!A19,"")</f>
        <v/>
      </c>
      <c r="I21" s="98" t="str">
        <f>IF('Skill Index'!O19=10,'Skill Index'!A19,"")</f>
        <v/>
      </c>
      <c r="J21" s="1" t="str">
        <f>IF('Skill Index'!O19=9,'Skill Index'!A19,"")</f>
        <v/>
      </c>
      <c r="K21" s="1" t="str">
        <f>IF('Skill Index'!O19=8,'Skill Index'!A19,"")</f>
        <v/>
      </c>
      <c r="L21" s="1" t="str">
        <f>IF('Skill Index'!O19=7,'Skill Index'!A19,"")</f>
        <v/>
      </c>
      <c r="M21" s="1" t="str">
        <f>IF('Skill Index'!O19=6,'Skill Index'!A19,"")</f>
        <v/>
      </c>
      <c r="N21" s="99" t="str">
        <f>IF('Skill Index'!O19&lt;6,'Skill Index'!A19,"")</f>
        <v>Srikirti Raj</v>
      </c>
    </row>
    <row r="22" spans="1:14" ht="15" thickBot="1" x14ac:dyDescent="0.4">
      <c r="A22" s="100" t="str">
        <f>IF('Skill Index'!N20=10,'Skill Index'!A20,"")</f>
        <v/>
      </c>
      <c r="B22" s="101" t="str">
        <f>IF('Skill Index'!N20=9,'Skill Index'!A20,"")</f>
        <v/>
      </c>
      <c r="C22" s="101" t="str">
        <f>IF('Skill Index'!N20=8,'Skill Index'!A20,"")</f>
        <v/>
      </c>
      <c r="D22" s="101" t="str">
        <f>IF('Skill Index'!N20=7,'Skill Index'!A20,"")</f>
        <v/>
      </c>
      <c r="E22" s="101" t="str">
        <f>IF('Skill Index'!N20=6,'Skill Index'!A20,"")</f>
        <v/>
      </c>
      <c r="F22" s="102" t="str">
        <f>IF('Skill Index'!N20&lt;6,'Skill Index'!A20,"")</f>
        <v>Swetha KJ</v>
      </c>
      <c r="I22" s="100" t="str">
        <f>IF('Skill Index'!O20=10,'Skill Index'!A20,"")</f>
        <v/>
      </c>
      <c r="J22" s="101" t="str">
        <f>IF('Skill Index'!O20=9,'Skill Index'!A20,"")</f>
        <v/>
      </c>
      <c r="K22" s="101" t="str">
        <f>IF('Skill Index'!O20=8,'Skill Index'!A20,"")</f>
        <v/>
      </c>
      <c r="L22" s="101" t="str">
        <f>IF('Skill Index'!O20=7,'Skill Index'!A20,"")</f>
        <v/>
      </c>
      <c r="M22" s="101" t="str">
        <f>IF('Skill Index'!O20=6,'Skill Index'!A20,"")</f>
        <v>Swetha KJ</v>
      </c>
      <c r="N22" s="102" t="str">
        <f>IF('Skill Index'!O20&lt;6,'Skill Index'!A20,"")</f>
        <v/>
      </c>
    </row>
  </sheetData>
  <mergeCells count="2">
    <mergeCell ref="A1:F2"/>
    <mergeCell ref="I1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47D0-9AA2-44E1-90EE-A74C491E5038}">
  <sheetPr codeName="Sheet18"/>
  <dimension ref="A1:F22"/>
  <sheetViews>
    <sheetView workbookViewId="0">
      <selection activeCell="D9" sqref="D9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293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Index'!P4=10,'Skill Index'!A4,"")</f>
        <v/>
      </c>
      <c r="B6" s="1" t="str">
        <f>IF('Skill Index'!P4=9,'Skill Index'!A4,"")</f>
        <v/>
      </c>
      <c r="C6" s="1" t="str">
        <f>IF('Skill Index'!P4=8,'Skill Index'!A4,"")</f>
        <v/>
      </c>
      <c r="D6" s="1" t="str">
        <f>IF('Skill Index'!P4=7,'Skill Index'!A4,"")</f>
        <v/>
      </c>
      <c r="E6" s="1" t="str">
        <f>IF('Skill Index'!P4=6,'Skill Index'!A4,"")</f>
        <v/>
      </c>
      <c r="F6" s="1" t="str">
        <f>IF('Skill Index'!P4&lt;6,'Skill Index'!A4,"")</f>
        <v>Ankit Rajput</v>
      </c>
    </row>
    <row r="7" spans="1:6" x14ac:dyDescent="0.35">
      <c r="A7" s="1" t="str">
        <f>IF('Skill Index'!P5=10,'Skill Index'!A5,"")</f>
        <v/>
      </c>
      <c r="B7" s="1" t="str">
        <f>IF('Skill Index'!P5=9,'Skill Index'!A5,"")</f>
        <v/>
      </c>
      <c r="C7" s="1" t="str">
        <f>IF('Skill Index'!P5=8,'Skill Index'!A5,"")</f>
        <v/>
      </c>
      <c r="D7" s="1" t="str">
        <f>IF('Skill Index'!P5=7,'Skill Index'!A5,"")</f>
        <v/>
      </c>
      <c r="E7" s="1" t="str">
        <f>IF('Skill Index'!P5=6,'Skill Index'!A5,"")</f>
        <v>Anusha Gunda</v>
      </c>
      <c r="F7" s="1" t="str">
        <f>IF('Skill Index'!P5&lt;6,'Skill Index'!A5,"")</f>
        <v/>
      </c>
    </row>
    <row r="8" spans="1:6" x14ac:dyDescent="0.35">
      <c r="A8" s="1" t="str">
        <f>IF('Skill Index'!P6=10,'Skill Index'!A6,"")</f>
        <v/>
      </c>
      <c r="B8" s="1" t="str">
        <f>IF('Skill Index'!P6=9,'Skill Index'!A6,"")</f>
        <v/>
      </c>
      <c r="C8" s="1" t="str">
        <f>IF('Skill Index'!P6=8,'Skill Index'!A6,"")</f>
        <v/>
      </c>
      <c r="D8" s="1" t="str">
        <f>IF('Skill Index'!P6=7,'Skill Index'!A6,"")</f>
        <v/>
      </c>
      <c r="E8" s="1" t="str">
        <f>IF('Skill Index'!P6=6,'Skill Index'!A6,"")</f>
        <v/>
      </c>
      <c r="F8" s="1" t="str">
        <f>IF('Skill Index'!P6&lt;6,'Skill Index'!A6,"")</f>
        <v>Arun Kumar</v>
      </c>
    </row>
    <row r="9" spans="1:6" x14ac:dyDescent="0.35">
      <c r="A9" s="1" t="str">
        <f>IF('Skill Index'!P7=10,'Skill Index'!A7,"")</f>
        <v/>
      </c>
      <c r="B9" s="1" t="str">
        <f>IF('Skill Index'!P7=9,'Skill Index'!A7,"")</f>
        <v/>
      </c>
      <c r="C9" s="1" t="str">
        <f>IF('Skill Index'!P7=8,'Skill Index'!A7,"")</f>
        <v/>
      </c>
      <c r="D9" s="1" t="str">
        <f>IF('Skill Index'!P7=7,'Skill Index'!A7,"")</f>
        <v>Ashraya H D</v>
      </c>
      <c r="E9" s="1" t="str">
        <f>IF('Skill Index'!P7=6,'Skill Index'!A7,"")</f>
        <v/>
      </c>
      <c r="F9" s="1" t="str">
        <f>IF('Skill Index'!P7&lt;6,'Skill Index'!A7,"")</f>
        <v/>
      </c>
    </row>
    <row r="10" spans="1:6" x14ac:dyDescent="0.35">
      <c r="A10" s="1" t="str">
        <f>IF('Skill Index'!P8=10,'Skill Index'!A8,"")</f>
        <v/>
      </c>
      <c r="B10" s="1" t="str">
        <f>IF('Skill Index'!P8=9,'Skill Index'!A8,"")</f>
        <v/>
      </c>
      <c r="C10" s="1" t="str">
        <f>IF('Skill Index'!P8=8,'Skill Index'!A8,"")</f>
        <v/>
      </c>
      <c r="D10" s="1" t="str">
        <f>IF('Skill Index'!P8=7,'Skill Index'!A8,"")</f>
        <v/>
      </c>
      <c r="E10" s="1" t="str">
        <f>IF('Skill Index'!P8=6,'Skill Index'!A8,"")</f>
        <v/>
      </c>
      <c r="F10" s="1" t="str">
        <f>IF('Skill Index'!P8&lt;6,'Skill Index'!A8,"")</f>
        <v>Jeet Doshi</v>
      </c>
    </row>
    <row r="11" spans="1:6" x14ac:dyDescent="0.35">
      <c r="A11" s="1" t="str">
        <f>IF('Skill Index'!P9=10,'Skill Index'!A9,"")</f>
        <v/>
      </c>
      <c r="B11" s="1" t="str">
        <f>IF('Skill Index'!P9=9,'Skill Index'!A9,"")</f>
        <v/>
      </c>
      <c r="C11" s="1" t="str">
        <f>IF('Skill Index'!P9=8,'Skill Index'!A9,"")</f>
        <v/>
      </c>
      <c r="D11" s="1" t="str">
        <f>IF('Skill Index'!P9=7,'Skill Index'!A9,"")</f>
        <v/>
      </c>
      <c r="E11" s="1" t="str">
        <f>IF('Skill Index'!P9=6,'Skill Index'!A9,"")</f>
        <v/>
      </c>
      <c r="F11" s="1" t="str">
        <f>IF('Skill Index'!P9&lt;6,'Skill Index'!A9,"")</f>
        <v>Mahesh Kumar</v>
      </c>
    </row>
    <row r="12" spans="1:6" x14ac:dyDescent="0.35">
      <c r="A12" s="1" t="str">
        <f>IF('Skill Index'!P10=10,'Skill Index'!A10,"")</f>
        <v/>
      </c>
      <c r="B12" s="1" t="str">
        <f>IF('Skill Index'!P10=9,'Skill Index'!A10,"")</f>
        <v/>
      </c>
      <c r="C12" s="1" t="str">
        <f>IF('Skill Index'!P10=8,'Skill Index'!A10,"")</f>
        <v/>
      </c>
      <c r="D12" s="1" t="str">
        <f>IF('Skill Index'!P10=7,'Skill Index'!A10,"")</f>
        <v>Nilekha Repaka</v>
      </c>
      <c r="E12" s="1" t="str">
        <f>IF('Skill Index'!P10=6,'Skill Index'!A10,"")</f>
        <v/>
      </c>
      <c r="F12" s="1" t="str">
        <f>IF('Skill Index'!P10&lt;6,'Skill Index'!A10,"")</f>
        <v/>
      </c>
    </row>
    <row r="13" spans="1:6" x14ac:dyDescent="0.35">
      <c r="A13" s="1" t="str">
        <f>IF('Skill Index'!P11=10,'Skill Index'!A11,"")</f>
        <v/>
      </c>
      <c r="B13" s="1" t="str">
        <f>IF('Skill Index'!P11=9,'Skill Index'!A11,"")</f>
        <v/>
      </c>
      <c r="C13" s="1" t="str">
        <f>IF('Skill Index'!P11=8,'Skill Index'!A11,"")</f>
        <v/>
      </c>
      <c r="D13" s="1" t="str">
        <f>IF('Skill Index'!P11=7,'Skill Index'!A11,"")</f>
        <v>Pawan Rathore</v>
      </c>
      <c r="E13" s="1" t="str">
        <f>IF('Skill Index'!P11=6,'Skill Index'!A11,"")</f>
        <v/>
      </c>
      <c r="F13" s="1" t="str">
        <f>IF('Skill Index'!P11&lt;6,'Skill Index'!A11,"")</f>
        <v/>
      </c>
    </row>
    <row r="14" spans="1:6" x14ac:dyDescent="0.35">
      <c r="A14" s="1" t="str">
        <f>IF('Skill Index'!P12=10,'Skill Index'!A12,"")</f>
        <v/>
      </c>
      <c r="B14" s="1" t="str">
        <f>IF('Skill Index'!P12=9,'Skill Index'!A12,"")</f>
        <v/>
      </c>
      <c r="C14" s="1" t="str">
        <f>IF('Skill Index'!P12=8,'Skill Index'!A12,"")</f>
        <v/>
      </c>
      <c r="D14" s="1" t="str">
        <f>IF('Skill Index'!P12=7,'Skill Index'!A12,"")</f>
        <v>Priyesh Tiwari</v>
      </c>
      <c r="E14" s="1" t="str">
        <f>IF('Skill Index'!P12=6,'Skill Index'!A12,"")</f>
        <v/>
      </c>
      <c r="F14" s="1" t="str">
        <f>IF('Skill Index'!P12&lt;6,'Skill Index'!A12,"")</f>
        <v/>
      </c>
    </row>
    <row r="15" spans="1:6" x14ac:dyDescent="0.35">
      <c r="A15" s="1" t="str">
        <f>IF('Skill Index'!P13=10,'Skill Index'!A13,"")</f>
        <v/>
      </c>
      <c r="B15" s="1" t="str">
        <f>IF('Skill Index'!P13=9,'Skill Index'!A13,"")</f>
        <v/>
      </c>
      <c r="C15" s="1" t="str">
        <f>IF('Skill Index'!P13=8,'Skill Index'!A13,"")</f>
        <v/>
      </c>
      <c r="D15" s="1" t="str">
        <f>IF('Skill Index'!P13=7,'Skill Index'!A13,"")</f>
        <v>Rahul Kumar</v>
      </c>
      <c r="E15" s="1" t="str">
        <f>IF('Skill Index'!P13=6,'Skill Index'!A13,"")</f>
        <v/>
      </c>
      <c r="F15" s="1" t="str">
        <f>IF('Skill Index'!P13&lt;6,'Skill Index'!A13,"")</f>
        <v/>
      </c>
    </row>
    <row r="16" spans="1:6" x14ac:dyDescent="0.35">
      <c r="A16" s="1" t="str">
        <f>IF('Skill Index'!P14=10,'Skill Index'!A14,"")</f>
        <v/>
      </c>
      <c r="B16" s="1" t="str">
        <f>IF('Skill Index'!P14=9,'Skill Index'!A14,"")</f>
        <v/>
      </c>
      <c r="C16" s="1" t="str">
        <f>IF('Skill Index'!P14=8,'Skill Index'!A14,"")</f>
        <v/>
      </c>
      <c r="D16" s="1" t="str">
        <f>IF('Skill Index'!P14=7,'Skill Index'!A14,"")</f>
        <v/>
      </c>
      <c r="E16" s="1" t="str">
        <f>IF('Skill Index'!P14=6,'Skill Index'!A14,"")</f>
        <v/>
      </c>
      <c r="F16" s="1" t="str">
        <f>IF('Skill Index'!P14&lt;6,'Skill Index'!A14,"")</f>
        <v>Ramkrishna Kadiya</v>
      </c>
    </row>
    <row r="17" spans="1:6" x14ac:dyDescent="0.35">
      <c r="A17" s="1" t="str">
        <f>IF('Skill Index'!P15=10,'Skill Index'!A15,"")</f>
        <v/>
      </c>
      <c r="B17" s="1" t="str">
        <f>IF('Skill Index'!P15=9,'Skill Index'!A15,"")</f>
        <v/>
      </c>
      <c r="C17" s="1" t="str">
        <f>IF('Skill Index'!P15=8,'Skill Index'!A15,"")</f>
        <v>Revanth Anguluri</v>
      </c>
      <c r="D17" s="1" t="str">
        <f>IF('Skill Index'!P15=7,'Skill Index'!A15,"")</f>
        <v/>
      </c>
      <c r="E17" s="1" t="str">
        <f>IF('Skill Index'!P15=6,'Skill Index'!A15,"")</f>
        <v/>
      </c>
      <c r="F17" s="1" t="str">
        <f>IF('Skill Index'!P15&lt;6,'Skill Index'!A15,"")</f>
        <v/>
      </c>
    </row>
    <row r="18" spans="1:6" x14ac:dyDescent="0.35">
      <c r="A18" s="1" t="str">
        <f>IF('Skill Index'!P16=10,'Skill Index'!A16,"")</f>
        <v/>
      </c>
      <c r="B18" s="1" t="str">
        <f>IF('Skill Index'!P16=9,'Skill Index'!A16,"")</f>
        <v/>
      </c>
      <c r="C18" s="1" t="str">
        <f>IF('Skill Index'!P16=8,'Skill Index'!A16,"")</f>
        <v/>
      </c>
      <c r="D18" s="1" t="str">
        <f>IF('Skill Index'!P16=7,'Skill Index'!A16,"")</f>
        <v>Sagar Sable</v>
      </c>
      <c r="E18" s="1" t="str">
        <f>IF('Skill Index'!P16=6,'Skill Index'!A16,"")</f>
        <v/>
      </c>
      <c r="F18" s="1" t="str">
        <f>IF('Skill Index'!P16&lt;6,'Skill Index'!A16,"")</f>
        <v/>
      </c>
    </row>
    <row r="19" spans="1:6" x14ac:dyDescent="0.35">
      <c r="A19" s="1" t="str">
        <f>IF('Skill Index'!P17=10,'Skill Index'!A17,"")</f>
        <v/>
      </c>
      <c r="B19" s="1" t="str">
        <f>IF('Skill Index'!P17=9,'Skill Index'!A17,"")</f>
        <v/>
      </c>
      <c r="C19" s="1" t="str">
        <f>IF('Skill Index'!P17=8,'Skill Index'!A17,"")</f>
        <v/>
      </c>
      <c r="D19" s="1" t="str">
        <f>IF('Skill Index'!P17=7,'Skill Index'!A17,"")</f>
        <v>Shreya Ramprakash</v>
      </c>
      <c r="E19" s="1" t="str">
        <f>IF('Skill Index'!P17=6,'Skill Index'!A17,"")</f>
        <v/>
      </c>
      <c r="F19" s="1" t="str">
        <f>IF('Skill Index'!P17&lt;6,'Skill Index'!A17,"")</f>
        <v/>
      </c>
    </row>
    <row r="20" spans="1:6" x14ac:dyDescent="0.35">
      <c r="A20" s="1" t="str">
        <f>IF('Skill Index'!P18=10,'Skill Index'!A18,"")</f>
        <v/>
      </c>
      <c r="B20" s="1" t="str">
        <f>IF('Skill Index'!P18=9,'Skill Index'!A18,"")</f>
        <v/>
      </c>
      <c r="C20" s="1" t="str">
        <f>IF('Skill Index'!P18=8,'Skill Index'!A18,"")</f>
        <v/>
      </c>
      <c r="D20" s="1" t="str">
        <f>IF('Skill Index'!P18=7,'Skill Index'!A18,"")</f>
        <v/>
      </c>
      <c r="E20" s="1" t="str">
        <f>IF('Skill Index'!P18=6,'Skill Index'!A18,"")</f>
        <v/>
      </c>
      <c r="F20" s="1" t="str">
        <f>IF('Skill Index'!P18&lt;6,'Skill Index'!A18,"")</f>
        <v>Shreyas Risodkar</v>
      </c>
    </row>
    <row r="21" spans="1:6" x14ac:dyDescent="0.35">
      <c r="A21" s="1" t="str">
        <f>IF('Skill Index'!P19=10,'Skill Index'!A19,"")</f>
        <v/>
      </c>
      <c r="B21" s="1" t="str">
        <f>IF('Skill Index'!P19=9,'Skill Index'!A19,"")</f>
        <v/>
      </c>
      <c r="C21" s="1" t="str">
        <f>IF('Skill Index'!P19=8,'Skill Index'!A19,"")</f>
        <v/>
      </c>
      <c r="D21" s="1" t="str">
        <f>IF('Skill Index'!P19=7,'Skill Index'!A19,"")</f>
        <v>Srikirti Raj</v>
      </c>
      <c r="E21" s="1" t="str">
        <f>IF('Skill Index'!P19=6,'Skill Index'!A19,"")</f>
        <v/>
      </c>
      <c r="F21" s="1" t="str">
        <f>IF('Skill Index'!P19&lt;6,'Skill Index'!A19,"")</f>
        <v/>
      </c>
    </row>
    <row r="22" spans="1:6" x14ac:dyDescent="0.35">
      <c r="A22" s="1" t="str">
        <f>IF('Skill Index'!P20=10,'Skill Index'!A20,"")</f>
        <v/>
      </c>
      <c r="B22" s="1" t="str">
        <f>IF('Skill Index'!P20=9,'Skill Index'!A20,"")</f>
        <v/>
      </c>
      <c r="C22" s="1" t="str">
        <f>IF('Skill Index'!P20=8,'Skill Index'!A20,"")</f>
        <v/>
      </c>
      <c r="D22" s="1" t="str">
        <f>IF('Skill Index'!P20=7,'Skill Index'!A20,"")</f>
        <v>Swetha KJ</v>
      </c>
      <c r="E22" s="1" t="str">
        <f>IF('Skill Index'!P20=6,'Skill Index'!A20,"")</f>
        <v/>
      </c>
      <c r="F22" s="1" t="str">
        <f>IF('Skill Index'!P20&lt;6,'Skill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CEE0-BC09-41D0-8AD3-667138582B93}">
  <sheetPr codeName="Sheet19"/>
  <dimension ref="A1:N22"/>
  <sheetViews>
    <sheetView topLeftCell="B1" workbookViewId="0">
      <selection activeCell="I14" sqref="I14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8.26953125" bestFit="1" customWidth="1"/>
    <col min="11" max="11" width="16.6328125" bestFit="1" customWidth="1"/>
    <col min="12" max="12" width="17.453125" bestFit="1" customWidth="1"/>
    <col min="13" max="13" width="13.36328125" bestFit="1" customWidth="1"/>
    <col min="14" max="14" width="16.81640625" bestFit="1" customWidth="1"/>
  </cols>
  <sheetData>
    <row r="1" spans="1:14" ht="14.5" customHeight="1" x14ac:dyDescent="0.35">
      <c r="A1" s="84" t="s">
        <v>251</v>
      </c>
      <c r="B1" s="84"/>
      <c r="C1" s="84"/>
      <c r="D1" s="84"/>
      <c r="E1" s="84"/>
      <c r="F1" s="84"/>
      <c r="I1" s="84" t="s">
        <v>270</v>
      </c>
      <c r="J1" s="84"/>
      <c r="K1" s="84"/>
      <c r="L1" s="84"/>
      <c r="M1" s="84"/>
      <c r="N1" s="84"/>
    </row>
    <row r="2" spans="1:14" ht="14.5" customHeight="1" x14ac:dyDescent="0.35">
      <c r="A2" s="84"/>
      <c r="B2" s="84"/>
      <c r="C2" s="84"/>
      <c r="D2" s="84"/>
      <c r="E2" s="84"/>
      <c r="F2" s="84"/>
      <c r="I2" s="84"/>
      <c r="J2" s="84"/>
      <c r="K2" s="84"/>
      <c r="L2" s="84"/>
      <c r="M2" s="84"/>
      <c r="N2" s="84"/>
    </row>
    <row r="5" spans="1:14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  <c r="I5" s="85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86" t="s">
        <v>286</v>
      </c>
    </row>
    <row r="6" spans="1:14" x14ac:dyDescent="0.35">
      <c r="A6" s="1" t="str">
        <f>IF('Skill Index'!Q4=10,'Skill Index'!A4,"")</f>
        <v/>
      </c>
      <c r="B6" s="1" t="str">
        <f>IF('Skill Index'!Q4=9,'Skill Index'!A4,"")</f>
        <v/>
      </c>
      <c r="C6" s="1" t="str">
        <f>IF('Skill Index'!Q4=8,'Skill Index'!A4,"")</f>
        <v/>
      </c>
      <c r="D6" s="1" t="str">
        <f>IF('Skill Index'!Q4=7,'Skill Index'!A4,"")</f>
        <v>Ankit Rajput</v>
      </c>
      <c r="E6" s="1" t="str">
        <f>IF('Skill Index'!Q4=6,'Skill Index'!A4,"")</f>
        <v/>
      </c>
      <c r="F6" s="1" t="str">
        <f>IF('Skill Index'!Q4&lt;6,'Skill Index'!A4,"")</f>
        <v/>
      </c>
      <c r="I6" s="1" t="str">
        <f>IF('Skill Index'!R4=10,'Skill Index'!A4,"")</f>
        <v/>
      </c>
      <c r="J6" s="1" t="str">
        <f>IF('Skill Index'!R4=9,'Skill Index'!A4,"")</f>
        <v/>
      </c>
      <c r="K6" s="1" t="str">
        <f>IF('Skill Index'!R4=8,'Skill Index'!A4,"")</f>
        <v/>
      </c>
      <c r="L6" s="1" t="str">
        <f>IF('Skill Index'!R4=7,'Skill Index'!A4,"")</f>
        <v/>
      </c>
      <c r="M6" s="1" t="str">
        <f>IF('Skill Index'!R4=6,'Skill Index'!A4,"")</f>
        <v>Ankit Rajput</v>
      </c>
      <c r="N6" s="1" t="str">
        <f>IF('Skill Index'!R4&lt;6,'Skill Index'!A4,"")</f>
        <v/>
      </c>
    </row>
    <row r="7" spans="1:14" x14ac:dyDescent="0.35">
      <c r="A7" s="1" t="str">
        <f>IF('Skill Index'!Q5=10,'Skill Index'!A5,"")</f>
        <v/>
      </c>
      <c r="B7" s="1" t="str">
        <f>IF('Skill Index'!Q5=9,'Skill Index'!A5,"")</f>
        <v/>
      </c>
      <c r="C7" s="1" t="str">
        <f>IF('Skill Index'!Q5=8,'Skill Index'!A5,"")</f>
        <v/>
      </c>
      <c r="D7" s="1" t="str">
        <f>IF('Skill Index'!Q5=7,'Skill Index'!A5,"")</f>
        <v/>
      </c>
      <c r="E7" s="1" t="str">
        <f>IF('Skill Index'!Q5=6,'Skill Index'!A5,"")</f>
        <v>Anusha Gunda</v>
      </c>
      <c r="F7" s="1" t="str">
        <f>IF('Skill Index'!Q5&lt;6,'Skill Index'!A5,"")</f>
        <v/>
      </c>
      <c r="I7" s="1" t="str">
        <f>IF('Skill Index'!R5=10,'Skill Index'!A5,"")</f>
        <v/>
      </c>
      <c r="J7" s="1" t="str">
        <f>IF('Skill Index'!R5=9,'Skill Index'!A5,"")</f>
        <v/>
      </c>
      <c r="K7" s="1" t="str">
        <f>IF('Skill Index'!R5=8,'Skill Index'!A5,"")</f>
        <v/>
      </c>
      <c r="L7" s="1" t="str">
        <f>IF('Skill Index'!R5=7,'Skill Index'!A5,"")</f>
        <v/>
      </c>
      <c r="M7" s="1" t="str">
        <f>IF('Skill Index'!R5=6,'Skill Index'!A5,"")</f>
        <v>Anusha Gunda</v>
      </c>
      <c r="N7" s="1" t="str">
        <f>IF('Skill Index'!R5&lt;6,'Skill Index'!A5,"")</f>
        <v/>
      </c>
    </row>
    <row r="8" spans="1:14" x14ac:dyDescent="0.35">
      <c r="A8" s="1" t="str">
        <f>IF('Skill Index'!Q6=10,'Skill Index'!A6,"")</f>
        <v/>
      </c>
      <c r="B8" s="1" t="str">
        <f>IF('Skill Index'!Q6=9,'Skill Index'!A6,"")</f>
        <v/>
      </c>
      <c r="C8" s="1" t="str">
        <f>IF('Skill Index'!Q6=8,'Skill Index'!A6,"")</f>
        <v/>
      </c>
      <c r="D8" s="1" t="str">
        <f>IF('Skill Index'!Q6=7,'Skill Index'!A6,"")</f>
        <v/>
      </c>
      <c r="E8" s="1" t="str">
        <f>IF('Skill Index'!Q6=6,'Skill Index'!A6,"")</f>
        <v/>
      </c>
      <c r="F8" s="1" t="str">
        <f>IF('Skill Index'!Q6&lt;6,'Skill Index'!A6,"")</f>
        <v>Arun Kumar</v>
      </c>
      <c r="I8" s="1" t="str">
        <f>IF('Skill Index'!R6=10,'Skill Index'!A6,"")</f>
        <v/>
      </c>
      <c r="J8" s="1" t="str">
        <f>IF('Skill Index'!R6=9,'Skill Index'!A6,"")</f>
        <v/>
      </c>
      <c r="K8" s="1" t="str">
        <f>IF('Skill Index'!R6=8,'Skill Index'!A6,"")</f>
        <v/>
      </c>
      <c r="L8" s="1" t="str">
        <f>IF('Skill Index'!R6=7,'Skill Index'!A6,"")</f>
        <v/>
      </c>
      <c r="M8" s="1" t="str">
        <f>IF('Skill Index'!R6=6,'Skill Index'!A6,"")</f>
        <v/>
      </c>
      <c r="N8" s="1" t="str">
        <f>IF('Skill Index'!R6&lt;6,'Skill Index'!A6,"")</f>
        <v>Arun Kumar</v>
      </c>
    </row>
    <row r="9" spans="1:14" x14ac:dyDescent="0.35">
      <c r="A9" s="1" t="str">
        <f>IF('Skill Index'!Q7=10,'Skill Index'!A7,"")</f>
        <v/>
      </c>
      <c r="B9" s="1" t="str">
        <f>IF('Skill Index'!Q7=9,'Skill Index'!A7,"")</f>
        <v/>
      </c>
      <c r="C9" s="1" t="str">
        <f>IF('Skill Index'!Q7=8,'Skill Index'!A7,"")</f>
        <v/>
      </c>
      <c r="D9" s="1" t="str">
        <f>IF('Skill Index'!Q7=7,'Skill Index'!A7,"")</f>
        <v>Ashraya H D</v>
      </c>
      <c r="E9" s="1" t="str">
        <f>IF('Skill Index'!Q7=6,'Skill Index'!A7,"")</f>
        <v/>
      </c>
      <c r="F9" s="1" t="str">
        <f>IF('Skill Index'!Q7&lt;6,'Skill Index'!A7,"")</f>
        <v/>
      </c>
      <c r="I9" s="1" t="str">
        <f>IF('Skill Index'!R7=10,'Skill Index'!A7,"")</f>
        <v/>
      </c>
      <c r="J9" s="1" t="str">
        <f>IF('Skill Index'!R7=9,'Skill Index'!A7,"")</f>
        <v/>
      </c>
      <c r="K9" s="1" t="str">
        <f>IF('Skill Index'!R7=8,'Skill Index'!A7,"")</f>
        <v>Ashraya H D</v>
      </c>
      <c r="L9" s="1" t="str">
        <f>IF('Skill Index'!R7=7,'Skill Index'!A7,"")</f>
        <v/>
      </c>
      <c r="M9" s="1" t="str">
        <f>IF('Skill Index'!R7=6,'Skill Index'!A7,"")</f>
        <v/>
      </c>
      <c r="N9" s="1" t="str">
        <f>IF('Skill Index'!R7&lt;6,'Skill Index'!A7,"")</f>
        <v/>
      </c>
    </row>
    <row r="10" spans="1:14" x14ac:dyDescent="0.35">
      <c r="A10" s="1" t="str">
        <f>IF('Skill Index'!Q8=10,'Skill Index'!A8,"")</f>
        <v/>
      </c>
      <c r="B10" s="1" t="str">
        <f>IF('Skill Index'!Q8=9,'Skill Index'!A8,"")</f>
        <v/>
      </c>
      <c r="C10" s="1" t="str">
        <f>IF('Skill Index'!Q8=8,'Skill Index'!A8,"")</f>
        <v/>
      </c>
      <c r="D10" s="1" t="str">
        <f>IF('Skill Index'!Q8=7,'Skill Index'!A8,"")</f>
        <v/>
      </c>
      <c r="E10" s="1" t="str">
        <f>IF('Skill Index'!Q8=6,'Skill Index'!A8,"")</f>
        <v/>
      </c>
      <c r="F10" s="1" t="str">
        <f>IF('Skill Index'!Q8&lt;6,'Skill Index'!A8,"")</f>
        <v>Jeet Doshi</v>
      </c>
      <c r="I10" s="1" t="str">
        <f>IF('Skill Index'!R8=10,'Skill Index'!A8,"")</f>
        <v/>
      </c>
      <c r="J10" s="1" t="str">
        <f>IF('Skill Index'!R8=9,'Skill Index'!A8,"")</f>
        <v/>
      </c>
      <c r="K10" s="1" t="str">
        <f>IF('Skill Index'!R8=8,'Skill Index'!A8,"")</f>
        <v/>
      </c>
      <c r="L10" s="1" t="str">
        <f>IF('Skill Index'!R8=7,'Skill Index'!A8,"")</f>
        <v/>
      </c>
      <c r="M10" s="1" t="str">
        <f>IF('Skill Index'!R8=6,'Skill Index'!A8,"")</f>
        <v/>
      </c>
      <c r="N10" s="1" t="str">
        <f>IF('Skill Index'!R8&lt;6,'Skill Index'!A8,"")</f>
        <v>Jeet Doshi</v>
      </c>
    </row>
    <row r="11" spans="1:14" x14ac:dyDescent="0.35">
      <c r="A11" s="1" t="str">
        <f>IF('Skill Index'!Q9=10,'Skill Index'!A9,"")</f>
        <v/>
      </c>
      <c r="B11" s="1" t="str">
        <f>IF('Skill Index'!Q9=9,'Skill Index'!A9,"")</f>
        <v/>
      </c>
      <c r="C11" s="1" t="str">
        <f>IF('Skill Index'!Q9=8,'Skill Index'!A9,"")</f>
        <v/>
      </c>
      <c r="D11" s="1" t="str">
        <f>IF('Skill Index'!Q9=7,'Skill Index'!A9,"")</f>
        <v/>
      </c>
      <c r="E11" s="1" t="str">
        <f>IF('Skill Index'!Q9=6,'Skill Index'!A9,"")</f>
        <v/>
      </c>
      <c r="F11" s="1" t="str">
        <f>IF('Skill Index'!Q9&lt;6,'Skill Index'!A9,"")</f>
        <v>Mahesh Kumar</v>
      </c>
      <c r="I11" s="1" t="str">
        <f>IF('Skill Index'!R9=10,'Skill Index'!A9,"")</f>
        <v/>
      </c>
      <c r="J11" s="1" t="str">
        <f>IF('Skill Index'!R9=9,'Skill Index'!A9,"")</f>
        <v/>
      </c>
      <c r="K11" s="1" t="str">
        <f>IF('Skill Index'!R9=8,'Skill Index'!A9,"")</f>
        <v/>
      </c>
      <c r="L11" s="1" t="str">
        <f>IF('Skill Index'!R9=7,'Skill Index'!A9,"")</f>
        <v/>
      </c>
      <c r="M11" s="1" t="str">
        <f>IF('Skill Index'!R9=6,'Skill Index'!A9,"")</f>
        <v/>
      </c>
      <c r="N11" s="1" t="str">
        <f>IF('Skill Index'!R9&lt;6,'Skill Index'!A9,"")</f>
        <v>Mahesh Kumar</v>
      </c>
    </row>
    <row r="12" spans="1:14" x14ac:dyDescent="0.35">
      <c r="A12" s="1" t="str">
        <f>IF('Skill Index'!Q10=10,'Skill Index'!A10,"")</f>
        <v/>
      </c>
      <c r="B12" s="1" t="str">
        <f>IF('Skill Index'!Q10=9,'Skill Index'!A10,"")</f>
        <v/>
      </c>
      <c r="C12" s="1" t="str">
        <f>IF('Skill Index'!Q10=8,'Skill Index'!A10,"")</f>
        <v/>
      </c>
      <c r="D12" s="1" t="str">
        <f>IF('Skill Index'!Q10=7,'Skill Index'!A10,"")</f>
        <v>Nilekha Repaka</v>
      </c>
      <c r="E12" s="1" t="str">
        <f>IF('Skill Index'!Q10=6,'Skill Index'!A10,"")</f>
        <v/>
      </c>
      <c r="F12" s="1" t="str">
        <f>IF('Skill Index'!Q10&lt;6,'Skill Index'!A10,"")</f>
        <v/>
      </c>
      <c r="I12" s="1" t="str">
        <f>IF('Skill Index'!R10=10,'Skill Index'!A10,"")</f>
        <v/>
      </c>
      <c r="J12" s="1" t="str">
        <f>IF('Skill Index'!R10=9,'Skill Index'!A10,"")</f>
        <v/>
      </c>
      <c r="K12" s="1" t="str">
        <f>IF('Skill Index'!R10=8,'Skill Index'!A10,"")</f>
        <v/>
      </c>
      <c r="L12" s="1" t="str">
        <f>IF('Skill Index'!R10=7,'Skill Index'!A10,"")</f>
        <v>Nilekha Repaka</v>
      </c>
      <c r="M12" s="1" t="str">
        <f>IF('Skill Index'!R10=6,'Skill Index'!A10,"")</f>
        <v/>
      </c>
      <c r="N12" s="1" t="str">
        <f>IF('Skill Index'!R10&lt;6,'Skill Index'!A10,"")</f>
        <v/>
      </c>
    </row>
    <row r="13" spans="1:14" x14ac:dyDescent="0.35">
      <c r="A13" s="1" t="str">
        <f>IF('Skill Index'!Q11=10,'Skill Index'!A11,"")</f>
        <v/>
      </c>
      <c r="B13" s="1" t="str">
        <f>IF('Skill Index'!Q11=9,'Skill Index'!A11,"")</f>
        <v/>
      </c>
      <c r="C13" s="1" t="str">
        <f>IF('Skill Index'!Q11=8,'Skill Index'!A11,"")</f>
        <v/>
      </c>
      <c r="D13" s="1" t="str">
        <f>IF('Skill Index'!Q11=7,'Skill Index'!A11,"")</f>
        <v/>
      </c>
      <c r="E13" s="1" t="str">
        <f>IF('Skill Index'!Q11=6,'Skill Index'!A11,"")</f>
        <v/>
      </c>
      <c r="F13" s="1" t="str">
        <f>IF('Skill Index'!Q11&lt;6,'Skill Index'!A11,"")</f>
        <v>Pawan Rathore</v>
      </c>
      <c r="I13" s="1" t="str">
        <f>IF('Skill Index'!R11=10,'Skill Index'!A11,"")</f>
        <v/>
      </c>
      <c r="J13" s="1" t="str">
        <f>IF('Skill Index'!R11=9,'Skill Index'!A11,"")</f>
        <v/>
      </c>
      <c r="K13" s="1" t="str">
        <f>IF('Skill Index'!R11=8,'Skill Index'!A11,"")</f>
        <v/>
      </c>
      <c r="L13" s="1" t="str">
        <f>IF('Skill Index'!R11=7,'Skill Index'!A11,"")</f>
        <v/>
      </c>
      <c r="M13" s="1" t="str">
        <f>IF('Skill Index'!R11=6,'Skill Index'!A11,"")</f>
        <v/>
      </c>
      <c r="N13" s="1" t="str">
        <f>IF('Skill Index'!R11&lt;6,'Skill Index'!A11,"")</f>
        <v>Pawan Rathore</v>
      </c>
    </row>
    <row r="14" spans="1:14" x14ac:dyDescent="0.35">
      <c r="A14" s="1" t="str">
        <f>IF('Skill Index'!Q12=10,'Skill Index'!A12,"")</f>
        <v/>
      </c>
      <c r="B14" s="1" t="str">
        <f>IF('Skill Index'!Q12=9,'Skill Index'!A12,"")</f>
        <v/>
      </c>
      <c r="C14" s="1" t="str">
        <f>IF('Skill Index'!Q12=8,'Skill Index'!A12,"")</f>
        <v/>
      </c>
      <c r="D14" s="1" t="str">
        <f>IF('Skill Index'!Q12=7,'Skill Index'!A12,"")</f>
        <v>Priyesh Tiwari</v>
      </c>
      <c r="E14" s="1" t="str">
        <f>IF('Skill Index'!Q12=6,'Skill Index'!A12,"")</f>
        <v/>
      </c>
      <c r="F14" s="1" t="str">
        <f>IF('Skill Index'!Q12&lt;6,'Skill Index'!A12,"")</f>
        <v/>
      </c>
      <c r="I14" s="1" t="str">
        <f>IF('Skill Index'!R12=10,'Skill Index'!A12,"")</f>
        <v/>
      </c>
      <c r="J14" s="1" t="str">
        <f>IF('Skill Index'!R12=9,'Skill Index'!A12,"")</f>
        <v/>
      </c>
      <c r="K14" s="1" t="str">
        <f>IF('Skill Index'!R12=8,'Skill Index'!A12,"")</f>
        <v/>
      </c>
      <c r="L14" s="1" t="str">
        <f>IF('Skill Index'!R12=7,'Skill Index'!A12,"")</f>
        <v/>
      </c>
      <c r="M14" s="1" t="str">
        <f>IF('Skill Index'!R12=6,'Skill Index'!A12,"")</f>
        <v/>
      </c>
      <c r="N14" s="1" t="str">
        <f>IF('Skill Index'!R12&lt;6,'Skill Index'!A12,"")</f>
        <v>Priyesh Tiwari</v>
      </c>
    </row>
    <row r="15" spans="1:14" x14ac:dyDescent="0.35">
      <c r="A15" s="1" t="str">
        <f>IF('Skill Index'!Q13=10,'Skill Index'!A13,"")</f>
        <v/>
      </c>
      <c r="B15" s="1" t="str">
        <f>IF('Skill Index'!Q13=9,'Skill Index'!A13,"")</f>
        <v/>
      </c>
      <c r="C15" s="1" t="str">
        <f>IF('Skill Index'!Q13=8,'Skill Index'!A13,"")</f>
        <v>Rahul Kumar</v>
      </c>
      <c r="D15" s="1" t="str">
        <f>IF('Skill Index'!Q13=7,'Skill Index'!A13,"")</f>
        <v/>
      </c>
      <c r="E15" s="1" t="str">
        <f>IF('Skill Index'!Q13=6,'Skill Index'!A13,"")</f>
        <v/>
      </c>
      <c r="F15" s="1" t="str">
        <f>IF('Skill Index'!Q13&lt;6,'Skill Index'!A13,"")</f>
        <v/>
      </c>
      <c r="I15" s="1" t="str">
        <f>IF('Skill Index'!R13=10,'Skill Index'!A13,"")</f>
        <v/>
      </c>
      <c r="J15" s="1" t="str">
        <f>IF('Skill Index'!R13=9,'Skill Index'!A13,"")</f>
        <v/>
      </c>
      <c r="K15" s="1" t="str">
        <f>IF('Skill Index'!R13=8,'Skill Index'!A13,"")</f>
        <v/>
      </c>
      <c r="L15" s="1" t="str">
        <f>IF('Skill Index'!R13=7,'Skill Index'!A13,"")</f>
        <v/>
      </c>
      <c r="M15" s="1" t="str">
        <f>IF('Skill Index'!R13=6,'Skill Index'!A13,"")</f>
        <v/>
      </c>
      <c r="N15" s="1" t="str">
        <f>IF('Skill Index'!R13&lt;6,'Skill Index'!A13,"")</f>
        <v>Rahul Kumar</v>
      </c>
    </row>
    <row r="16" spans="1:14" x14ac:dyDescent="0.35">
      <c r="A16" s="1" t="str">
        <f>IF('Skill Index'!Q14=10,'Skill Index'!A14,"")</f>
        <v/>
      </c>
      <c r="B16" s="1" t="str">
        <f>IF('Skill Index'!Q14=9,'Skill Index'!A14,"")</f>
        <v/>
      </c>
      <c r="C16" s="1" t="str">
        <f>IF('Skill Index'!Q14=8,'Skill Index'!A14,"")</f>
        <v/>
      </c>
      <c r="D16" s="1" t="str">
        <f>IF('Skill Index'!Q14=7,'Skill Index'!A14,"")</f>
        <v/>
      </c>
      <c r="E16" s="1" t="str">
        <f>IF('Skill Index'!Q14=6,'Skill Index'!A14,"")</f>
        <v/>
      </c>
      <c r="F16" s="1" t="str">
        <f>IF('Skill Index'!Q14&lt;6,'Skill Index'!A14,"")</f>
        <v>Ramkrishna Kadiya</v>
      </c>
      <c r="I16" s="1" t="str">
        <f>IF('Skill Index'!R14=10,'Skill Index'!A14,"")</f>
        <v/>
      </c>
      <c r="J16" s="1" t="str">
        <f>IF('Skill Index'!R14=9,'Skill Index'!A14,"")</f>
        <v/>
      </c>
      <c r="K16" s="1" t="str">
        <f>IF('Skill Index'!R14=8,'Skill Index'!A14,"")</f>
        <v/>
      </c>
      <c r="L16" s="1" t="str">
        <f>IF('Skill Index'!R14=7,'Skill Index'!A14,"")</f>
        <v/>
      </c>
      <c r="M16" s="1" t="str">
        <f>IF('Skill Index'!R14=6,'Skill Index'!A14,"")</f>
        <v/>
      </c>
      <c r="N16" s="1" t="str">
        <f>IF('Skill Index'!R14&lt;6,'Skill Index'!A14,"")</f>
        <v>Ramkrishna Kadiya</v>
      </c>
    </row>
    <row r="17" spans="1:14" x14ac:dyDescent="0.35">
      <c r="A17" s="1" t="str">
        <f>IF('Skill Index'!Q15=10,'Skill Index'!A15,"")</f>
        <v/>
      </c>
      <c r="B17" s="1" t="str">
        <f>IF('Skill Index'!Q15=9,'Skill Index'!A15,"")</f>
        <v/>
      </c>
      <c r="C17" s="1" t="str">
        <f>IF('Skill Index'!Q15=8,'Skill Index'!A15,"")</f>
        <v/>
      </c>
      <c r="D17" s="1" t="str">
        <f>IF('Skill Index'!Q15=7,'Skill Index'!A15,"")</f>
        <v/>
      </c>
      <c r="E17" s="1" t="str">
        <f>IF('Skill Index'!Q15=6,'Skill Index'!A15,"")</f>
        <v/>
      </c>
      <c r="F17" s="1" t="str">
        <f>IF('Skill Index'!Q15&lt;6,'Skill Index'!A15,"")</f>
        <v>Revanth Anguluri</v>
      </c>
      <c r="I17" s="1" t="str">
        <f>IF('Skill Index'!R15=10,'Skill Index'!A15,"")</f>
        <v/>
      </c>
      <c r="J17" s="1" t="str">
        <f>IF('Skill Index'!R15=9,'Skill Index'!A15,"")</f>
        <v/>
      </c>
      <c r="K17" s="1" t="str">
        <f>IF('Skill Index'!R15=8,'Skill Index'!A15,"")</f>
        <v/>
      </c>
      <c r="L17" s="1" t="str">
        <f>IF('Skill Index'!R15=7,'Skill Index'!A15,"")</f>
        <v/>
      </c>
      <c r="M17" s="1" t="str">
        <f>IF('Skill Index'!R15=6,'Skill Index'!A15,"")</f>
        <v/>
      </c>
      <c r="N17" s="1" t="str">
        <f>IF('Skill Index'!R15&lt;6,'Skill Index'!A15,"")</f>
        <v>Revanth Anguluri</v>
      </c>
    </row>
    <row r="18" spans="1:14" x14ac:dyDescent="0.35">
      <c r="A18" s="1" t="str">
        <f>IF('Skill Index'!Q16=10,'Skill Index'!A16,"")</f>
        <v/>
      </c>
      <c r="B18" s="1" t="str">
        <f>IF('Skill Index'!Q16=9,'Skill Index'!A16,"")</f>
        <v/>
      </c>
      <c r="C18" s="1" t="str">
        <f>IF('Skill Index'!Q16=8,'Skill Index'!A16,"")</f>
        <v/>
      </c>
      <c r="D18" s="1" t="str">
        <f>IF('Skill Index'!Q16=7,'Skill Index'!A16,"")</f>
        <v>Sagar Sable</v>
      </c>
      <c r="E18" s="1" t="str">
        <f>IF('Skill Index'!Q16=6,'Skill Index'!A16,"")</f>
        <v/>
      </c>
      <c r="F18" s="1" t="str">
        <f>IF('Skill Index'!Q16&lt;6,'Skill Index'!A16,"")</f>
        <v/>
      </c>
      <c r="I18" s="1" t="str">
        <f>IF('Skill Index'!R16=10,'Skill Index'!A16,"")</f>
        <v/>
      </c>
      <c r="J18" s="1" t="str">
        <f>IF('Skill Index'!R16=9,'Skill Index'!A16,"")</f>
        <v/>
      </c>
      <c r="K18" s="1" t="str">
        <f>IF('Skill Index'!R16=8,'Skill Index'!A16,"")</f>
        <v/>
      </c>
      <c r="L18" s="1" t="str">
        <f>IF('Skill Index'!R16=7,'Skill Index'!A16,"")</f>
        <v/>
      </c>
      <c r="M18" s="1" t="str">
        <f>IF('Skill Index'!R16=6,'Skill Index'!A16,"")</f>
        <v/>
      </c>
      <c r="N18" s="1" t="str">
        <f>IF('Skill Index'!R16&lt;6,'Skill Index'!A16,"")</f>
        <v>Sagar Sable</v>
      </c>
    </row>
    <row r="19" spans="1:14" x14ac:dyDescent="0.35">
      <c r="A19" s="1" t="str">
        <f>IF('Skill Index'!Q17=10,'Skill Index'!A17,"")</f>
        <v/>
      </c>
      <c r="B19" s="1" t="str">
        <f>IF('Skill Index'!Q17=9,'Skill Index'!A17,"")</f>
        <v/>
      </c>
      <c r="C19" s="1" t="str">
        <f>IF('Skill Index'!Q17=8,'Skill Index'!A17,"")</f>
        <v/>
      </c>
      <c r="D19" s="1" t="str">
        <f>IF('Skill Index'!Q17=7,'Skill Index'!A17,"")</f>
        <v/>
      </c>
      <c r="E19" s="1" t="str">
        <f>IF('Skill Index'!Q17=6,'Skill Index'!A17,"")</f>
        <v/>
      </c>
      <c r="F19" s="1" t="str">
        <f>IF('Skill Index'!Q17&lt;6,'Skill Index'!A17,"")</f>
        <v>Shreya Ramprakash</v>
      </c>
      <c r="I19" s="1" t="str">
        <f>IF('Skill Index'!R17=10,'Skill Index'!A17,"")</f>
        <v/>
      </c>
      <c r="J19" s="1" t="str">
        <f>IF('Skill Index'!R17=9,'Skill Index'!A17,"")</f>
        <v/>
      </c>
      <c r="K19" s="1" t="str">
        <f>IF('Skill Index'!R17=8,'Skill Index'!A17,"")</f>
        <v/>
      </c>
      <c r="L19" s="1" t="str">
        <f>IF('Skill Index'!R17=7,'Skill Index'!A17,"")</f>
        <v/>
      </c>
      <c r="M19" s="1" t="str">
        <f>IF('Skill Index'!R17=6,'Skill Index'!A17,"")</f>
        <v/>
      </c>
      <c r="N19" s="1" t="str">
        <f>IF('Skill Index'!R17&lt;6,'Skill Index'!A17,"")</f>
        <v>Shreya Ramprakash</v>
      </c>
    </row>
    <row r="20" spans="1:14" x14ac:dyDescent="0.35">
      <c r="A20" s="1" t="str">
        <f>IF('Skill Index'!Q18=10,'Skill Index'!A18,"")</f>
        <v/>
      </c>
      <c r="B20" s="1" t="str">
        <f>IF('Skill Index'!Q18=9,'Skill Index'!A18,"")</f>
        <v/>
      </c>
      <c r="C20" s="1" t="str">
        <f>IF('Skill Index'!Q18=8,'Skill Index'!A18,"")</f>
        <v/>
      </c>
      <c r="D20" s="1" t="str">
        <f>IF('Skill Index'!Q18=7,'Skill Index'!A18,"")</f>
        <v/>
      </c>
      <c r="E20" s="1" t="str">
        <f>IF('Skill Index'!Q18=6,'Skill Index'!A18,"")</f>
        <v/>
      </c>
      <c r="F20" s="1" t="str">
        <f>IF('Skill Index'!Q18&lt;6,'Skill Index'!A18,"")</f>
        <v>Shreyas Risodkar</v>
      </c>
      <c r="I20" s="1" t="str">
        <f>IF('Skill Index'!R18=10,'Skill Index'!A18,"")</f>
        <v/>
      </c>
      <c r="J20" s="1" t="str">
        <f>IF('Skill Index'!R18=9,'Skill Index'!A18,"")</f>
        <v/>
      </c>
      <c r="K20" s="1" t="str">
        <f>IF('Skill Index'!R18=8,'Skill Index'!A18,"")</f>
        <v/>
      </c>
      <c r="L20" s="1" t="str">
        <f>IF('Skill Index'!R18=7,'Skill Index'!A18,"")</f>
        <v/>
      </c>
      <c r="M20" s="1" t="str">
        <f>IF('Skill Index'!R18=6,'Skill Index'!A18,"")</f>
        <v/>
      </c>
      <c r="N20" s="1" t="str">
        <f>IF('Skill Index'!R18&lt;6,'Skill Index'!A18,"")</f>
        <v>Shreyas Risodkar</v>
      </c>
    </row>
    <row r="21" spans="1:14" x14ac:dyDescent="0.35">
      <c r="A21" s="1" t="str">
        <f>IF('Skill Index'!Q19=10,'Skill Index'!A19,"")</f>
        <v/>
      </c>
      <c r="B21" s="1" t="str">
        <f>IF('Skill Index'!Q19=9,'Skill Index'!A19,"")</f>
        <v/>
      </c>
      <c r="C21" s="1" t="str">
        <f>IF('Skill Index'!Q19=8,'Skill Index'!A19,"")</f>
        <v/>
      </c>
      <c r="D21" s="1" t="str">
        <f>IF('Skill Index'!Q19=7,'Skill Index'!A19,"")</f>
        <v/>
      </c>
      <c r="E21" s="1" t="str">
        <f>IF('Skill Index'!Q19=6,'Skill Index'!A19,"")</f>
        <v>Srikirti Raj</v>
      </c>
      <c r="F21" s="1" t="str">
        <f>IF('Skill Index'!Q19&lt;6,'Skill Index'!A19,"")</f>
        <v/>
      </c>
      <c r="I21" s="1" t="str">
        <f>IF('Skill Index'!R19=10,'Skill Index'!A19,"")</f>
        <v/>
      </c>
      <c r="J21" s="1" t="str">
        <f>IF('Skill Index'!R19=9,'Skill Index'!A19,"")</f>
        <v/>
      </c>
      <c r="K21" s="1" t="str">
        <f>IF('Skill Index'!R19=8,'Skill Index'!A19,"")</f>
        <v/>
      </c>
      <c r="L21" s="1" t="str">
        <f>IF('Skill Index'!R19=7,'Skill Index'!A19,"")</f>
        <v/>
      </c>
      <c r="M21" s="1" t="str">
        <f>IF('Skill Index'!R19=6,'Skill Index'!A19,"")</f>
        <v>Srikirti Raj</v>
      </c>
      <c r="N21" s="1" t="str">
        <f>IF('Skill Index'!R19&lt;6,'Skill Index'!A19,"")</f>
        <v/>
      </c>
    </row>
    <row r="22" spans="1:14" x14ac:dyDescent="0.35">
      <c r="A22" s="1" t="str">
        <f>IF('Skill Index'!Q20=10,'Skill Index'!A20,"")</f>
        <v/>
      </c>
      <c r="B22" s="1" t="str">
        <f>IF('Skill Index'!Q20=9,'Skill Index'!A20,"")</f>
        <v/>
      </c>
      <c r="C22" s="1" t="str">
        <f>IF('Skill Index'!Q20=8,'Skill Index'!A20,"")</f>
        <v/>
      </c>
      <c r="D22" s="1" t="str">
        <f>IF('Skill Index'!Q20=7,'Skill Index'!A20,"")</f>
        <v/>
      </c>
      <c r="E22" s="1" t="str">
        <f>IF('Skill Index'!Q20=6,'Skill Index'!A20,"")</f>
        <v/>
      </c>
      <c r="F22" s="1" t="str">
        <f>IF('Skill Index'!Q20&lt;6,'Skill Index'!A20,"")</f>
        <v>Swetha KJ</v>
      </c>
      <c r="I22" s="1" t="str">
        <f>IF('Skill Index'!R20=10,'Skill Index'!A20,"")</f>
        <v/>
      </c>
      <c r="J22" s="1" t="str">
        <f>IF('Skill Index'!R20=9,'Skill Index'!A20,"")</f>
        <v/>
      </c>
      <c r="K22" s="1" t="str">
        <f>IF('Skill Index'!R20=8,'Skill Index'!A20,"")</f>
        <v/>
      </c>
      <c r="L22" s="1" t="str">
        <f>IF('Skill Index'!R20=7,'Skill Index'!A20,"")</f>
        <v/>
      </c>
      <c r="M22" s="1" t="str">
        <f>IF('Skill Index'!R20=6,'Skill Index'!A20,"")</f>
        <v/>
      </c>
      <c r="N22" s="1" t="str">
        <f>IF('Skill Index'!R20&lt;6,'Skill Index'!A20,"")</f>
        <v>Swetha KJ</v>
      </c>
    </row>
  </sheetData>
  <mergeCells count="2">
    <mergeCell ref="A1:F2"/>
    <mergeCell ref="I1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D9CD-EDEC-4AED-9769-00E15D17F16A}">
  <sheetPr codeName="Sheet20"/>
  <dimension ref="A1:N22"/>
  <sheetViews>
    <sheetView workbookViewId="0">
      <selection activeCell="E10" sqref="E10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8.26953125" bestFit="1" customWidth="1"/>
    <col min="11" max="11" width="16.6328125" bestFit="1" customWidth="1"/>
    <col min="12" max="12" width="17.453125" bestFit="1" customWidth="1"/>
    <col min="13" max="13" width="13.36328125" bestFit="1" customWidth="1"/>
    <col min="14" max="14" width="16.81640625" bestFit="1" customWidth="1"/>
  </cols>
  <sheetData>
    <row r="1" spans="1:14" ht="14.5" customHeight="1" x14ac:dyDescent="0.35">
      <c r="A1" s="84" t="s">
        <v>252</v>
      </c>
      <c r="B1" s="84"/>
      <c r="C1" s="84"/>
      <c r="D1" s="84"/>
      <c r="E1" s="84"/>
      <c r="F1" s="84"/>
      <c r="I1" s="84" t="s">
        <v>271</v>
      </c>
      <c r="J1" s="84"/>
      <c r="K1" s="84"/>
      <c r="L1" s="84"/>
      <c r="M1" s="84"/>
      <c r="N1" s="84"/>
    </row>
    <row r="2" spans="1:14" ht="14.5" customHeight="1" x14ac:dyDescent="0.35">
      <c r="A2" s="84"/>
      <c r="B2" s="84"/>
      <c r="C2" s="84"/>
      <c r="D2" s="84"/>
      <c r="E2" s="84"/>
      <c r="F2" s="84"/>
      <c r="I2" s="84"/>
      <c r="J2" s="84"/>
      <c r="K2" s="84"/>
      <c r="L2" s="84"/>
      <c r="M2" s="84"/>
      <c r="N2" s="84"/>
    </row>
    <row r="3" spans="1:14" x14ac:dyDescent="0.35">
      <c r="A3" t="s">
        <v>294</v>
      </c>
    </row>
    <row r="5" spans="1:14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  <c r="I5" s="85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86" t="s">
        <v>286</v>
      </c>
    </row>
    <row r="6" spans="1:14" x14ac:dyDescent="0.35">
      <c r="A6" s="1" t="str">
        <f>IF('Skill Index'!S4=10,'Skill Index'!A4,"")</f>
        <v/>
      </c>
      <c r="B6" s="1" t="str">
        <f>IF('Skill Index'!S4=9,'Skill Index'!A4,"")</f>
        <v/>
      </c>
      <c r="C6" s="1" t="str">
        <f>IF('Skill Index'!S4=8,'Skill Index'!A4,"")</f>
        <v/>
      </c>
      <c r="D6" s="1" t="str">
        <f>IF('Skill Index'!S4=7,'Skill Index'!A4,"")</f>
        <v/>
      </c>
      <c r="E6" s="1" t="str">
        <f>IF('Skill Index'!S4=6,'Skill Index'!A4,"")</f>
        <v>Ankit Rajput</v>
      </c>
      <c r="F6" s="1" t="str">
        <f>IF('Skill Index'!S4&lt;6,'Skill Index'!A4,"")</f>
        <v/>
      </c>
      <c r="I6" s="1" t="str">
        <f>IF('Skill Index'!T4=10,'Skill Index'!A4,"")</f>
        <v/>
      </c>
      <c r="J6" s="1" t="str">
        <f>IF('Skill Index'!T4=9,'Skill Index'!A4,"")</f>
        <v/>
      </c>
      <c r="K6" s="1" t="str">
        <f>IF('Skill Index'!T4=8,'Skill Index'!A4,"")</f>
        <v/>
      </c>
      <c r="L6" s="1" t="str">
        <f>IF('Skill Index'!T4=7,'Skill Index'!A4,"")</f>
        <v/>
      </c>
      <c r="M6" s="1" t="str">
        <f>IF('Skill Index'!T4=6,'Skill Index'!A4,"")</f>
        <v>Ankit Rajput</v>
      </c>
      <c r="N6" s="1" t="str">
        <f>IF('Skill Index'!T4&lt;6,'Skill Index'!A4,"")</f>
        <v/>
      </c>
    </row>
    <row r="7" spans="1:14" x14ac:dyDescent="0.35">
      <c r="A7" s="1" t="str">
        <f>IF('Skill Index'!S5=10,'Skill Index'!A5,"")</f>
        <v/>
      </c>
      <c r="B7" s="1" t="str">
        <f>IF('Skill Index'!S5=9,'Skill Index'!A5,"")</f>
        <v/>
      </c>
      <c r="C7" s="1" t="str">
        <f>IF('Skill Index'!S5=8,'Skill Index'!A5,"")</f>
        <v/>
      </c>
      <c r="D7" s="1" t="str">
        <f>IF('Skill Index'!S5=7,'Skill Index'!A5,"")</f>
        <v/>
      </c>
      <c r="E7" s="1" t="str">
        <f>IF('Skill Index'!S5=6,'Skill Index'!A5,"")</f>
        <v>Anusha Gunda</v>
      </c>
      <c r="F7" s="1" t="str">
        <f>IF('Skill Index'!S5&lt;6,'Skill Index'!A5,"")</f>
        <v/>
      </c>
      <c r="I7" s="1" t="str">
        <f>IF('Skill Index'!T5=10,'Skill Index'!A5,"")</f>
        <v/>
      </c>
      <c r="J7" s="1" t="str">
        <f>IF('Skill Index'!T5=9,'Skill Index'!A5,"")</f>
        <v/>
      </c>
      <c r="K7" s="1" t="str">
        <f>IF('Skill Index'!T5=8,'Skill Index'!A5,"")</f>
        <v/>
      </c>
      <c r="L7" s="1" t="str">
        <f>IF('Skill Index'!T5=7,'Skill Index'!A5,"")</f>
        <v>Anusha Gunda</v>
      </c>
      <c r="M7" s="1" t="str">
        <f>IF('Skill Index'!T5=6,'Skill Index'!A5,"")</f>
        <v/>
      </c>
      <c r="N7" s="1" t="str">
        <f>IF('Skill Index'!T5&lt;6,'Skill Index'!A5,"")</f>
        <v/>
      </c>
    </row>
    <row r="8" spans="1:14" x14ac:dyDescent="0.35">
      <c r="A8" s="1" t="str">
        <f>IF('Skill Index'!S6=10,'Skill Index'!A6,"")</f>
        <v/>
      </c>
      <c r="B8" s="1" t="str">
        <f>IF('Skill Index'!S6=9,'Skill Index'!A6,"")</f>
        <v/>
      </c>
      <c r="C8" s="1" t="str">
        <f>IF('Skill Index'!S6=8,'Skill Index'!A6,"")</f>
        <v/>
      </c>
      <c r="D8" s="1" t="str">
        <f>IF('Skill Index'!S6=7,'Skill Index'!A6,"")</f>
        <v/>
      </c>
      <c r="E8" s="1" t="str">
        <f>IF('Skill Index'!S6=6,'Skill Index'!A6,"")</f>
        <v/>
      </c>
      <c r="F8" s="1" t="str">
        <f>IF('Skill Index'!S6&lt;6,'Skill Index'!A6,"")</f>
        <v>Arun Kumar</v>
      </c>
      <c r="I8" s="1" t="str">
        <f>IF('Skill Index'!T6=10,'Skill Index'!A6,"")</f>
        <v/>
      </c>
      <c r="J8" s="1" t="str">
        <f>IF('Skill Index'!T6=9,'Skill Index'!A6,"")</f>
        <v/>
      </c>
      <c r="K8" s="1" t="str">
        <f>IF('Skill Index'!T6=8,'Skill Index'!A6,"")</f>
        <v/>
      </c>
      <c r="L8" s="1" t="str">
        <f>IF('Skill Index'!T6=7,'Skill Index'!A6,"")</f>
        <v/>
      </c>
      <c r="M8" s="1" t="str">
        <f>IF('Skill Index'!T6=6,'Skill Index'!A6,"")</f>
        <v/>
      </c>
      <c r="N8" s="1" t="str">
        <f>IF('Skill Index'!T6&lt;6,'Skill Index'!A6,"")</f>
        <v>Arun Kumar</v>
      </c>
    </row>
    <row r="9" spans="1:14" x14ac:dyDescent="0.35">
      <c r="A9" s="1" t="str">
        <f>IF('Skill Index'!S7=10,'Skill Index'!A7,"")</f>
        <v/>
      </c>
      <c r="B9" s="1" t="str">
        <f>IF('Skill Index'!S7=9,'Skill Index'!A7,"")</f>
        <v/>
      </c>
      <c r="C9" s="1" t="str">
        <f>IF('Skill Index'!S7=8,'Skill Index'!A7,"")</f>
        <v/>
      </c>
      <c r="D9" s="1" t="str">
        <f>IF('Skill Index'!S7=7,'Skill Index'!A7,"")</f>
        <v/>
      </c>
      <c r="E9" s="1" t="str">
        <f>IF('Skill Index'!S7=6,'Skill Index'!A7,"")</f>
        <v/>
      </c>
      <c r="F9" s="1" t="str">
        <f>IF('Skill Index'!S7&lt;6,'Skill Index'!A7,"")</f>
        <v>Ashraya H D</v>
      </c>
      <c r="I9" s="1" t="str">
        <f>IF('Skill Index'!T7=10,'Skill Index'!A7,"")</f>
        <v/>
      </c>
      <c r="J9" s="1" t="str">
        <f>IF('Skill Index'!T7=9,'Skill Index'!A7,"")</f>
        <v/>
      </c>
      <c r="K9" s="1" t="str">
        <f>IF('Skill Index'!T7=8,'Skill Index'!A7,"")</f>
        <v/>
      </c>
      <c r="L9" s="1" t="str">
        <f>IF('Skill Index'!T7=7,'Skill Index'!A7,"")</f>
        <v/>
      </c>
      <c r="M9" s="1" t="str">
        <f>IF('Skill Index'!T7=6,'Skill Index'!A7,"")</f>
        <v>Ashraya H D</v>
      </c>
      <c r="N9" s="1" t="str">
        <f>IF('Skill Index'!T7&lt;6,'Skill Index'!A7,"")</f>
        <v/>
      </c>
    </row>
    <row r="10" spans="1:14" x14ac:dyDescent="0.35">
      <c r="A10" s="1" t="str">
        <f>IF('Skill Index'!S8=10,'Skill Index'!A8,"")</f>
        <v/>
      </c>
      <c r="B10" s="1" t="str">
        <f>IF('Skill Index'!S8=9,'Skill Index'!A8,"")</f>
        <v/>
      </c>
      <c r="C10" s="1" t="str">
        <f>IF('Skill Index'!S8=8,'Skill Index'!A8,"")</f>
        <v/>
      </c>
      <c r="D10" s="1" t="str">
        <f>IF('Skill Index'!S8=7,'Skill Index'!A8,"")</f>
        <v/>
      </c>
      <c r="E10" s="1" t="str">
        <f>IF('Skill Index'!S8=6,'Skill Index'!A8,"")</f>
        <v/>
      </c>
      <c r="F10" s="1" t="str">
        <f>IF('Skill Index'!S8&lt;6,'Skill Index'!A8,"")</f>
        <v>Jeet Doshi</v>
      </c>
      <c r="I10" s="1" t="str">
        <f>IF('Skill Index'!T8=10,'Skill Index'!A8,"")</f>
        <v/>
      </c>
      <c r="J10" s="1" t="str">
        <f>IF('Skill Index'!T8=9,'Skill Index'!A8,"")</f>
        <v/>
      </c>
      <c r="K10" s="1" t="str">
        <f>IF('Skill Index'!T8=8,'Skill Index'!A8,"")</f>
        <v/>
      </c>
      <c r="L10" s="1" t="str">
        <f>IF('Skill Index'!T8=7,'Skill Index'!A8,"")</f>
        <v/>
      </c>
      <c r="M10" s="1" t="str">
        <f>IF('Skill Index'!T8=6,'Skill Index'!A8,"")</f>
        <v/>
      </c>
      <c r="N10" s="1" t="str">
        <f>IF('Skill Index'!T8&lt;6,'Skill Index'!A8,"")</f>
        <v>Jeet Doshi</v>
      </c>
    </row>
    <row r="11" spans="1:14" x14ac:dyDescent="0.35">
      <c r="A11" s="1" t="str">
        <f>IF('Skill Index'!S9=10,'Skill Index'!A9,"")</f>
        <v/>
      </c>
      <c r="B11" s="1" t="str">
        <f>IF('Skill Index'!S9=9,'Skill Index'!A9,"")</f>
        <v/>
      </c>
      <c r="C11" s="1" t="str">
        <f>IF('Skill Index'!S9=8,'Skill Index'!A9,"")</f>
        <v/>
      </c>
      <c r="D11" s="1" t="str">
        <f>IF('Skill Index'!S9=7,'Skill Index'!A9,"")</f>
        <v/>
      </c>
      <c r="E11" s="1" t="str">
        <f>IF('Skill Index'!S9=6,'Skill Index'!A9,"")</f>
        <v/>
      </c>
      <c r="F11" s="1" t="str">
        <f>IF('Skill Index'!S9&lt;6,'Skill Index'!A9,"")</f>
        <v>Mahesh Kumar</v>
      </c>
      <c r="I11" s="1" t="str">
        <f>IF('Skill Index'!T9=10,'Skill Index'!A9,"")</f>
        <v/>
      </c>
      <c r="J11" s="1" t="str">
        <f>IF('Skill Index'!T9=9,'Skill Index'!A9,"")</f>
        <v/>
      </c>
      <c r="K11" s="1" t="str">
        <f>IF('Skill Index'!T9=8,'Skill Index'!A9,"")</f>
        <v/>
      </c>
      <c r="L11" s="1" t="str">
        <f>IF('Skill Index'!T9=7,'Skill Index'!A9,"")</f>
        <v/>
      </c>
      <c r="M11" s="1" t="str">
        <f>IF('Skill Index'!T9=6,'Skill Index'!A9,"")</f>
        <v/>
      </c>
      <c r="N11" s="1" t="str">
        <f>IF('Skill Index'!T9&lt;6,'Skill Index'!A9,"")</f>
        <v>Mahesh Kumar</v>
      </c>
    </row>
    <row r="12" spans="1:14" x14ac:dyDescent="0.35">
      <c r="A12" s="1" t="str">
        <f>IF('Skill Index'!S10=10,'Skill Index'!A10,"")</f>
        <v/>
      </c>
      <c r="B12" s="1" t="str">
        <f>IF('Skill Index'!S10=9,'Skill Index'!A10,"")</f>
        <v/>
      </c>
      <c r="C12" s="1" t="str">
        <f>IF('Skill Index'!S10=8,'Skill Index'!A10,"")</f>
        <v>Nilekha Repaka</v>
      </c>
      <c r="D12" s="1" t="str">
        <f>IF('Skill Index'!S10=7,'Skill Index'!A10,"")</f>
        <v/>
      </c>
      <c r="E12" s="1" t="str">
        <f>IF('Skill Index'!S10=6,'Skill Index'!A10,"")</f>
        <v/>
      </c>
      <c r="F12" s="1" t="str">
        <f>IF('Skill Index'!S10&lt;6,'Skill Index'!A10,"")</f>
        <v/>
      </c>
      <c r="I12" s="1" t="str">
        <f>IF('Skill Index'!T10=10,'Skill Index'!A10,"")</f>
        <v/>
      </c>
      <c r="J12" s="1" t="str">
        <f>IF('Skill Index'!T10=9,'Skill Index'!A10,"")</f>
        <v/>
      </c>
      <c r="K12" s="1" t="str">
        <f>IF('Skill Index'!T10=8,'Skill Index'!A10,"")</f>
        <v/>
      </c>
      <c r="L12" s="1" t="str">
        <f>IF('Skill Index'!T10=7,'Skill Index'!A10,"")</f>
        <v>Nilekha Repaka</v>
      </c>
      <c r="M12" s="1" t="str">
        <f>IF('Skill Index'!T10=6,'Skill Index'!A10,"")</f>
        <v/>
      </c>
      <c r="N12" s="1" t="str">
        <f>IF('Skill Index'!T10&lt;6,'Skill Index'!A10,"")</f>
        <v/>
      </c>
    </row>
    <row r="13" spans="1:14" x14ac:dyDescent="0.35">
      <c r="A13" s="1" t="str">
        <f>IF('Skill Index'!S11=10,'Skill Index'!A11,"")</f>
        <v/>
      </c>
      <c r="B13" s="1" t="str">
        <f>IF('Skill Index'!S11=9,'Skill Index'!A11,"")</f>
        <v/>
      </c>
      <c r="C13" s="1" t="str">
        <f>IF('Skill Index'!S11=8,'Skill Index'!A11,"")</f>
        <v/>
      </c>
      <c r="D13" s="1" t="str">
        <f>IF('Skill Index'!S11=7,'Skill Index'!A11,"")</f>
        <v/>
      </c>
      <c r="E13" s="1" t="str">
        <f>IF('Skill Index'!S11=6,'Skill Index'!A11,"")</f>
        <v/>
      </c>
      <c r="F13" s="1" t="str">
        <f>IF('Skill Index'!S11&lt;6,'Skill Index'!A11,"")</f>
        <v>Pawan Rathore</v>
      </c>
      <c r="I13" s="1" t="str">
        <f>IF('Skill Index'!T11=10,'Skill Index'!A11,"")</f>
        <v/>
      </c>
      <c r="J13" s="1" t="str">
        <f>IF('Skill Index'!T11=9,'Skill Index'!A11,"")</f>
        <v/>
      </c>
      <c r="K13" s="1" t="str">
        <f>IF('Skill Index'!T11=8,'Skill Index'!A11,"")</f>
        <v/>
      </c>
      <c r="L13" s="1" t="str">
        <f>IF('Skill Index'!T11=7,'Skill Index'!A11,"")</f>
        <v/>
      </c>
      <c r="M13" s="1" t="str">
        <f>IF('Skill Index'!T11=6,'Skill Index'!A11,"")</f>
        <v/>
      </c>
      <c r="N13" s="1" t="str">
        <f>IF('Skill Index'!T11&lt;6,'Skill Index'!A11,"")</f>
        <v>Pawan Rathore</v>
      </c>
    </row>
    <row r="14" spans="1:14" x14ac:dyDescent="0.35">
      <c r="A14" s="1" t="str">
        <f>IF('Skill Index'!S12=10,'Skill Index'!A12,"")</f>
        <v/>
      </c>
      <c r="B14" s="1" t="str">
        <f>IF('Skill Index'!S12=9,'Skill Index'!A12,"")</f>
        <v>Priyesh Tiwari</v>
      </c>
      <c r="C14" s="1" t="str">
        <f>IF('Skill Index'!S12=8,'Skill Index'!A12,"")</f>
        <v/>
      </c>
      <c r="D14" s="1" t="str">
        <f>IF('Skill Index'!S12=7,'Skill Index'!A12,"")</f>
        <v/>
      </c>
      <c r="E14" s="1" t="str">
        <f>IF('Skill Index'!S12=6,'Skill Index'!A12,"")</f>
        <v/>
      </c>
      <c r="F14" s="1" t="str">
        <f>IF('Skill Index'!S12&lt;6,'Skill Index'!A12,"")</f>
        <v/>
      </c>
      <c r="I14" s="1" t="str">
        <f>IF('Skill Index'!T12=10,'Skill Index'!A12,"")</f>
        <v/>
      </c>
      <c r="J14" s="1" t="str">
        <f>IF('Skill Index'!T12=9,'Skill Index'!A12,"")</f>
        <v/>
      </c>
      <c r="K14" s="1" t="str">
        <f>IF('Skill Index'!T12=8,'Skill Index'!A12,"")</f>
        <v/>
      </c>
      <c r="L14" s="1" t="str">
        <f>IF('Skill Index'!T12=7,'Skill Index'!A12,"")</f>
        <v/>
      </c>
      <c r="M14" s="1" t="str">
        <f>IF('Skill Index'!T12=6,'Skill Index'!A12,"")</f>
        <v>Priyesh Tiwari</v>
      </c>
      <c r="N14" s="1" t="str">
        <f>IF('Skill Index'!T12&lt;6,'Skill Index'!A12,"")</f>
        <v/>
      </c>
    </row>
    <row r="15" spans="1:14" x14ac:dyDescent="0.35">
      <c r="A15" s="1" t="str">
        <f>IF('Skill Index'!S13=10,'Skill Index'!A13,"")</f>
        <v/>
      </c>
      <c r="B15" s="1" t="str">
        <f>IF('Skill Index'!S13=9,'Skill Index'!A13,"")</f>
        <v/>
      </c>
      <c r="C15" s="1" t="str">
        <f>IF('Skill Index'!S13=8,'Skill Index'!A13,"")</f>
        <v/>
      </c>
      <c r="D15" s="1" t="str">
        <f>IF('Skill Index'!S13=7,'Skill Index'!A13,"")</f>
        <v/>
      </c>
      <c r="E15" s="1" t="str">
        <f>IF('Skill Index'!S13=6,'Skill Index'!A13,"")</f>
        <v>Rahul Kumar</v>
      </c>
      <c r="F15" s="1" t="str">
        <f>IF('Skill Index'!S13&lt;6,'Skill Index'!A13,"")</f>
        <v/>
      </c>
      <c r="I15" s="1" t="str">
        <f>IF('Skill Index'!T13=10,'Skill Index'!A13,"")</f>
        <v/>
      </c>
      <c r="J15" s="1" t="str">
        <f>IF('Skill Index'!T13=9,'Skill Index'!A13,"")</f>
        <v/>
      </c>
      <c r="K15" s="1" t="str">
        <f>IF('Skill Index'!T13=8,'Skill Index'!A13,"")</f>
        <v/>
      </c>
      <c r="L15" s="1" t="str">
        <f>IF('Skill Index'!T13=7,'Skill Index'!A13,"")</f>
        <v/>
      </c>
      <c r="M15" s="1" t="str">
        <f>IF('Skill Index'!T13=6,'Skill Index'!A13,"")</f>
        <v>Rahul Kumar</v>
      </c>
      <c r="N15" s="1" t="str">
        <f>IF('Skill Index'!T13&lt;6,'Skill Index'!A13,"")</f>
        <v/>
      </c>
    </row>
    <row r="16" spans="1:14" x14ac:dyDescent="0.35">
      <c r="A16" s="1" t="str">
        <f>IF('Skill Index'!S14=10,'Skill Index'!A14,"")</f>
        <v/>
      </c>
      <c r="B16" s="1" t="str">
        <f>IF('Skill Index'!S14=9,'Skill Index'!A14,"")</f>
        <v/>
      </c>
      <c r="C16" s="1" t="str">
        <f>IF('Skill Index'!S14=8,'Skill Index'!A14,"")</f>
        <v/>
      </c>
      <c r="D16" s="1" t="str">
        <f>IF('Skill Index'!S14=7,'Skill Index'!A14,"")</f>
        <v/>
      </c>
      <c r="E16" s="1" t="str">
        <f>IF('Skill Index'!S14=6,'Skill Index'!A14,"")</f>
        <v>Ramkrishna Kadiya</v>
      </c>
      <c r="F16" s="1" t="str">
        <f>IF('Skill Index'!S14&lt;6,'Skill Index'!A14,"")</f>
        <v/>
      </c>
      <c r="I16" s="1" t="str">
        <f>IF('Skill Index'!T14=10,'Skill Index'!A14,"")</f>
        <v/>
      </c>
      <c r="J16" s="1" t="str">
        <f>IF('Skill Index'!T14=9,'Skill Index'!A14,"")</f>
        <v/>
      </c>
      <c r="K16" s="1" t="str">
        <f>IF('Skill Index'!T14=8,'Skill Index'!A14,"")</f>
        <v/>
      </c>
      <c r="L16" s="1" t="str">
        <f>IF('Skill Index'!T14=7,'Skill Index'!A14,"")</f>
        <v/>
      </c>
      <c r="M16" s="1" t="str">
        <f>IF('Skill Index'!T14=6,'Skill Index'!A14,"")</f>
        <v/>
      </c>
      <c r="N16" s="1" t="str">
        <f>IF('Skill Index'!T14&lt;6,'Skill Index'!A14,"")</f>
        <v>Ramkrishna Kadiya</v>
      </c>
    </row>
    <row r="17" spans="1:14" x14ac:dyDescent="0.35">
      <c r="A17" s="1" t="str">
        <f>IF('Skill Index'!S15=10,'Skill Index'!A15,"")</f>
        <v/>
      </c>
      <c r="B17" s="1" t="str">
        <f>IF('Skill Index'!S15=9,'Skill Index'!A15,"")</f>
        <v/>
      </c>
      <c r="C17" s="1" t="str">
        <f>IF('Skill Index'!S15=8,'Skill Index'!A15,"")</f>
        <v/>
      </c>
      <c r="D17" s="1" t="str">
        <f>IF('Skill Index'!S15=7,'Skill Index'!A15,"")</f>
        <v/>
      </c>
      <c r="E17" s="1" t="str">
        <f>IF('Skill Index'!S15=6,'Skill Index'!A15,"")</f>
        <v>Revanth Anguluri</v>
      </c>
      <c r="F17" s="1" t="str">
        <f>IF('Skill Index'!S15&lt;6,'Skill Index'!A15,"")</f>
        <v/>
      </c>
      <c r="I17" s="1" t="str">
        <f>IF('Skill Index'!T15=10,'Skill Index'!A15,"")</f>
        <v/>
      </c>
      <c r="J17" s="1" t="str">
        <f>IF('Skill Index'!T15=9,'Skill Index'!A15,"")</f>
        <v/>
      </c>
      <c r="K17" s="1" t="str">
        <f>IF('Skill Index'!T15=8,'Skill Index'!A15,"")</f>
        <v/>
      </c>
      <c r="L17" s="1" t="str">
        <f>IF('Skill Index'!T15=7,'Skill Index'!A15,"")</f>
        <v/>
      </c>
      <c r="M17" s="1" t="str">
        <f>IF('Skill Index'!T15=6,'Skill Index'!A15,"")</f>
        <v>Revanth Anguluri</v>
      </c>
      <c r="N17" s="1" t="str">
        <f>IF('Skill Index'!T15&lt;6,'Skill Index'!A15,"")</f>
        <v/>
      </c>
    </row>
    <row r="18" spans="1:14" x14ac:dyDescent="0.35">
      <c r="A18" s="1" t="str">
        <f>IF('Skill Index'!S16=10,'Skill Index'!A16,"")</f>
        <v/>
      </c>
      <c r="B18" s="1" t="str">
        <f>IF('Skill Index'!S16=9,'Skill Index'!A16,"")</f>
        <v/>
      </c>
      <c r="C18" s="1" t="str">
        <f>IF('Skill Index'!S16=8,'Skill Index'!A16,"")</f>
        <v>Sagar Sable</v>
      </c>
      <c r="D18" s="1" t="str">
        <f>IF('Skill Index'!S16=7,'Skill Index'!A16,"")</f>
        <v/>
      </c>
      <c r="E18" s="1" t="str">
        <f>IF('Skill Index'!S16=6,'Skill Index'!A16,"")</f>
        <v/>
      </c>
      <c r="F18" s="1" t="str">
        <f>IF('Skill Index'!S16&lt;6,'Skill Index'!A16,"")</f>
        <v/>
      </c>
      <c r="I18" s="1" t="str">
        <f>IF('Skill Index'!T16=10,'Skill Index'!A16,"")</f>
        <v/>
      </c>
      <c r="J18" s="1" t="str">
        <f>IF('Skill Index'!T16=9,'Skill Index'!A16,"")</f>
        <v>Sagar Sable</v>
      </c>
      <c r="K18" s="1" t="str">
        <f>IF('Skill Index'!T16=8,'Skill Index'!A16,"")</f>
        <v/>
      </c>
      <c r="L18" s="1" t="str">
        <f>IF('Skill Index'!T16=7,'Skill Index'!A16,"")</f>
        <v/>
      </c>
      <c r="M18" s="1" t="str">
        <f>IF('Skill Index'!T16=6,'Skill Index'!A16,"")</f>
        <v/>
      </c>
      <c r="N18" s="1" t="str">
        <f>IF('Skill Index'!T16&lt;6,'Skill Index'!A16,"")</f>
        <v/>
      </c>
    </row>
    <row r="19" spans="1:14" x14ac:dyDescent="0.35">
      <c r="A19" s="1" t="str">
        <f>IF('Skill Index'!S17=10,'Skill Index'!A17,"")</f>
        <v/>
      </c>
      <c r="B19" s="1" t="str">
        <f>IF('Skill Index'!S17=9,'Skill Index'!A17,"")</f>
        <v>Shreya Ramprakash</v>
      </c>
      <c r="C19" s="1" t="str">
        <f>IF('Skill Index'!S17=8,'Skill Index'!A17,"")</f>
        <v/>
      </c>
      <c r="D19" s="1" t="str">
        <f>IF('Skill Index'!S17=7,'Skill Index'!A17,"")</f>
        <v/>
      </c>
      <c r="E19" s="1" t="str">
        <f>IF('Skill Index'!S17=6,'Skill Index'!A17,"")</f>
        <v/>
      </c>
      <c r="F19" s="1" t="str">
        <f>IF('Skill Index'!S17&lt;6,'Skill Index'!A17,"")</f>
        <v/>
      </c>
      <c r="I19" s="1" t="str">
        <f>IF('Skill Index'!T17=10,'Skill Index'!A17,"")</f>
        <v/>
      </c>
      <c r="J19" s="1" t="str">
        <f>IF('Skill Index'!T17=9,'Skill Index'!A17,"")</f>
        <v/>
      </c>
      <c r="K19" s="1" t="str">
        <f>IF('Skill Index'!T17=8,'Skill Index'!A17,"")</f>
        <v/>
      </c>
      <c r="L19" s="1" t="str">
        <f>IF('Skill Index'!T17=7,'Skill Index'!A17,"")</f>
        <v>Shreya Ramprakash</v>
      </c>
      <c r="M19" s="1" t="str">
        <f>IF('Skill Index'!T17=6,'Skill Index'!A17,"")</f>
        <v/>
      </c>
      <c r="N19" s="1" t="str">
        <f>IF('Skill Index'!T17&lt;6,'Skill Index'!A17,"")</f>
        <v/>
      </c>
    </row>
    <row r="20" spans="1:14" x14ac:dyDescent="0.35">
      <c r="A20" s="1" t="str">
        <f>IF('Skill Index'!S18=10,'Skill Index'!A18,"")</f>
        <v/>
      </c>
      <c r="B20" s="1" t="str">
        <f>IF('Skill Index'!S18=9,'Skill Index'!A18,"")</f>
        <v/>
      </c>
      <c r="C20" s="1" t="str">
        <f>IF('Skill Index'!S18=8,'Skill Index'!A18,"")</f>
        <v/>
      </c>
      <c r="D20" s="1" t="str">
        <f>IF('Skill Index'!S18=7,'Skill Index'!A18,"")</f>
        <v/>
      </c>
      <c r="E20" s="1" t="str">
        <f>IF('Skill Index'!S18=6,'Skill Index'!A18,"")</f>
        <v/>
      </c>
      <c r="F20" s="1" t="str">
        <f>IF('Skill Index'!S18&lt;6,'Skill Index'!A18,"")</f>
        <v>Shreyas Risodkar</v>
      </c>
      <c r="I20" s="1" t="str">
        <f>IF('Skill Index'!T18=10,'Skill Index'!A18,"")</f>
        <v/>
      </c>
      <c r="J20" s="1" t="str">
        <f>IF('Skill Index'!T18=9,'Skill Index'!A18,"")</f>
        <v/>
      </c>
      <c r="K20" s="1" t="str">
        <f>IF('Skill Index'!T18=8,'Skill Index'!A18,"")</f>
        <v/>
      </c>
      <c r="L20" s="1" t="str">
        <f>IF('Skill Index'!T18=7,'Skill Index'!A18,"")</f>
        <v/>
      </c>
      <c r="M20" s="1" t="str">
        <f>IF('Skill Index'!T18=6,'Skill Index'!A18,"")</f>
        <v/>
      </c>
      <c r="N20" s="1" t="str">
        <f>IF('Skill Index'!T18&lt;6,'Skill Index'!A18,"")</f>
        <v>Shreyas Risodkar</v>
      </c>
    </row>
    <row r="21" spans="1:14" x14ac:dyDescent="0.35">
      <c r="A21" s="1" t="str">
        <f>IF('Skill Index'!S19=10,'Skill Index'!A19,"")</f>
        <v/>
      </c>
      <c r="B21" s="1" t="str">
        <f>IF('Skill Index'!S19=9,'Skill Index'!A19,"")</f>
        <v/>
      </c>
      <c r="C21" s="1" t="str">
        <f>IF('Skill Index'!S19=8,'Skill Index'!A19,"")</f>
        <v/>
      </c>
      <c r="D21" s="1" t="str">
        <f>IF('Skill Index'!S19=7,'Skill Index'!A19,"")</f>
        <v/>
      </c>
      <c r="E21" s="1" t="str">
        <f>IF('Skill Index'!S19=6,'Skill Index'!A19,"")</f>
        <v>Srikirti Raj</v>
      </c>
      <c r="F21" s="1" t="str">
        <f>IF('Skill Index'!S19&lt;6,'Skill Index'!A19,"")</f>
        <v/>
      </c>
      <c r="I21" s="1" t="str">
        <f>IF('Skill Index'!T19=10,'Skill Index'!A19,"")</f>
        <v/>
      </c>
      <c r="J21" s="1" t="str">
        <f>IF('Skill Index'!T19=9,'Skill Index'!A19,"")</f>
        <v/>
      </c>
      <c r="K21" s="1" t="str">
        <f>IF('Skill Index'!T19=8,'Skill Index'!A19,"")</f>
        <v/>
      </c>
      <c r="L21" s="1" t="str">
        <f>IF('Skill Index'!T19=7,'Skill Index'!A19,"")</f>
        <v/>
      </c>
      <c r="M21" s="1" t="str">
        <f>IF('Skill Index'!T19=6,'Skill Index'!A19,"")</f>
        <v>Srikirti Raj</v>
      </c>
      <c r="N21" s="1" t="str">
        <f>IF('Skill Index'!T19&lt;6,'Skill Index'!A19,"")</f>
        <v/>
      </c>
    </row>
    <row r="22" spans="1:14" x14ac:dyDescent="0.35">
      <c r="A22" s="1" t="str">
        <f>IF('Skill Index'!S20=10,'Skill Index'!A20,"")</f>
        <v/>
      </c>
      <c r="B22" s="1" t="str">
        <f>IF('Skill Index'!S20=9,'Skill Index'!A20,"")</f>
        <v/>
      </c>
      <c r="C22" s="1" t="str">
        <f>IF('Skill Index'!S20=8,'Skill Index'!A20,"")</f>
        <v/>
      </c>
      <c r="D22" s="1" t="str">
        <f>IF('Skill Index'!S20=7,'Skill Index'!A20,"")</f>
        <v/>
      </c>
      <c r="E22" s="1" t="str">
        <f>IF('Skill Index'!S20=6,'Skill Index'!A20,"")</f>
        <v/>
      </c>
      <c r="F22" s="1" t="str">
        <f>IF('Skill Index'!S20&lt;6,'Skill Index'!A20,"")</f>
        <v>Swetha KJ</v>
      </c>
      <c r="I22" s="1" t="str">
        <f>IF('Skill Index'!T20=10,'Skill Index'!A20,"")</f>
        <v/>
      </c>
      <c r="J22" s="1" t="str">
        <f>IF('Skill Index'!T20=9,'Skill Index'!A20,"")</f>
        <v/>
      </c>
      <c r="K22" s="1" t="str">
        <f>IF('Skill Index'!T20=8,'Skill Index'!A20,"")</f>
        <v/>
      </c>
      <c r="L22" s="1" t="str">
        <f>IF('Skill Index'!T20=7,'Skill Index'!A20,"")</f>
        <v>Swetha KJ</v>
      </c>
      <c r="M22" s="1" t="str">
        <f>IF('Skill Index'!T20=6,'Skill Index'!A20,"")</f>
        <v/>
      </c>
      <c r="N22" s="1" t="str">
        <f>IF('Skill Index'!T20&lt;6,'Skill Index'!A20,"")</f>
        <v/>
      </c>
    </row>
  </sheetData>
  <mergeCells count="2">
    <mergeCell ref="A1:F2"/>
    <mergeCell ref="I1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6DD9-8D91-46A3-A15C-5503A2A22B02}">
  <sheetPr codeName="Sheet21"/>
  <dimension ref="A1:F22"/>
  <sheetViews>
    <sheetView workbookViewId="0">
      <selection activeCell="D8" sqref="D8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253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Index'!U4=10,'Skill Index'!A4,"")</f>
        <v/>
      </c>
      <c r="B6" s="1" t="str">
        <f>IF('Skill Index'!U4=9,'Skill Index'!A4,"")</f>
        <v/>
      </c>
      <c r="C6" s="1" t="str">
        <f>IF('Skill Index'!U4=8,'Skill Index'!A4,"")</f>
        <v/>
      </c>
      <c r="D6" s="1" t="str">
        <f>IF('Skill Index'!U4=7,'Skill Index'!A4,"")</f>
        <v/>
      </c>
      <c r="E6" s="1" t="str">
        <f>IF('Skill Index'!U4=6,'Skill Index'!A4,"")</f>
        <v/>
      </c>
      <c r="F6" s="1" t="str">
        <f>IF('Skill Index'!U4&lt;6,'Skill Index'!A4,"")</f>
        <v>Ankit Rajput</v>
      </c>
    </row>
    <row r="7" spans="1:6" x14ac:dyDescent="0.35">
      <c r="A7" s="1" t="str">
        <f>IF('Skill Index'!U5=10,'Skill Index'!A5,"")</f>
        <v/>
      </c>
      <c r="B7" s="1" t="str">
        <f>IF('Skill Index'!U5=9,'Skill Index'!A5,"")</f>
        <v/>
      </c>
      <c r="C7" s="1" t="str">
        <f>IF('Skill Index'!U5=8,'Skill Index'!A5,"")</f>
        <v/>
      </c>
      <c r="D7" s="1" t="str">
        <f>IF('Skill Index'!U5=7,'Skill Index'!A5,"")</f>
        <v/>
      </c>
      <c r="E7" s="1" t="str">
        <f>IF('Skill Index'!U5=6,'Skill Index'!A5,"")</f>
        <v>Anusha Gunda</v>
      </c>
      <c r="F7" s="1" t="str">
        <f>IF('Skill Index'!U5&lt;6,'Skill Index'!A5,"")</f>
        <v/>
      </c>
    </row>
    <row r="8" spans="1:6" x14ac:dyDescent="0.35">
      <c r="A8" s="1" t="str">
        <f>IF('Skill Index'!U6=10,'Skill Index'!A6,"")</f>
        <v/>
      </c>
      <c r="B8" s="1" t="str">
        <f>IF('Skill Index'!U6=9,'Skill Index'!A6,"")</f>
        <v/>
      </c>
      <c r="C8" s="1" t="str">
        <f>IF('Skill Index'!U6=8,'Skill Index'!A6,"")</f>
        <v/>
      </c>
      <c r="D8" s="1" t="str">
        <f>IF('Skill Index'!U6=7,'Skill Index'!A6,"")</f>
        <v/>
      </c>
      <c r="E8" s="1" t="str">
        <f>IF('Skill Index'!U6=6,'Skill Index'!A6,"")</f>
        <v/>
      </c>
      <c r="F8" s="1" t="str">
        <f>IF('Skill Index'!U6&lt;6,'Skill Index'!A6,"")</f>
        <v>Arun Kumar</v>
      </c>
    </row>
    <row r="9" spans="1:6" x14ac:dyDescent="0.35">
      <c r="A9" s="1" t="str">
        <f>IF('Skill Index'!U7=10,'Skill Index'!A7,"")</f>
        <v/>
      </c>
      <c r="B9" s="1" t="str">
        <f>IF('Skill Index'!U7=9,'Skill Index'!A7,"")</f>
        <v/>
      </c>
      <c r="C9" s="1" t="str">
        <f>IF('Skill Index'!U7=8,'Skill Index'!A7,"")</f>
        <v/>
      </c>
      <c r="D9" s="1" t="str">
        <f>IF('Skill Index'!U7=7,'Skill Index'!A7,"")</f>
        <v/>
      </c>
      <c r="E9" s="1" t="str">
        <f>IF('Skill Index'!U7=6,'Skill Index'!A7,"")</f>
        <v>Ashraya H D</v>
      </c>
      <c r="F9" s="1" t="str">
        <f>IF('Skill Index'!U7&lt;6,'Skill Index'!A7,"")</f>
        <v/>
      </c>
    </row>
    <row r="10" spans="1:6" x14ac:dyDescent="0.35">
      <c r="A10" s="1" t="str">
        <f>IF('Skill Index'!U8=10,'Skill Index'!A8,"")</f>
        <v/>
      </c>
      <c r="B10" s="1" t="str">
        <f>IF('Skill Index'!U8=9,'Skill Index'!A8,"")</f>
        <v/>
      </c>
      <c r="C10" s="1" t="str">
        <f>IF('Skill Index'!U8=8,'Skill Index'!A8,"")</f>
        <v/>
      </c>
      <c r="D10" s="1" t="str">
        <f>IF('Skill Index'!U8=7,'Skill Index'!A8,"")</f>
        <v/>
      </c>
      <c r="E10" s="1" t="str">
        <f>IF('Skill Index'!U8=6,'Skill Index'!A8,"")</f>
        <v/>
      </c>
      <c r="F10" s="1" t="str">
        <f>IF('Skill Index'!U8&lt;6,'Skill Index'!A8,"")</f>
        <v>Jeet Doshi</v>
      </c>
    </row>
    <row r="11" spans="1:6" x14ac:dyDescent="0.35">
      <c r="A11" s="1" t="str">
        <f>IF('Skill Index'!U9=10,'Skill Index'!A9,"")</f>
        <v/>
      </c>
      <c r="B11" s="1" t="str">
        <f>IF('Skill Index'!U9=9,'Skill Index'!A9,"")</f>
        <v/>
      </c>
      <c r="C11" s="1" t="str">
        <f>IF('Skill Index'!U9=8,'Skill Index'!A9,"")</f>
        <v/>
      </c>
      <c r="D11" s="1" t="str">
        <f>IF('Skill Index'!U9=7,'Skill Index'!A9,"")</f>
        <v/>
      </c>
      <c r="E11" s="1" t="str">
        <f>IF('Skill Index'!U9=6,'Skill Index'!A9,"")</f>
        <v/>
      </c>
      <c r="F11" s="1" t="str">
        <f>IF('Skill Index'!U9&lt;6,'Skill Index'!A9,"")</f>
        <v>Mahesh Kumar</v>
      </c>
    </row>
    <row r="12" spans="1:6" x14ac:dyDescent="0.35">
      <c r="A12" s="1" t="str">
        <f>IF('Skill Index'!U10=10,'Skill Index'!A10,"")</f>
        <v/>
      </c>
      <c r="B12" s="1" t="str">
        <f>IF('Skill Index'!U10=9,'Skill Index'!A10,"")</f>
        <v/>
      </c>
      <c r="C12" s="1" t="str">
        <f>IF('Skill Index'!U10=8,'Skill Index'!A10,"")</f>
        <v/>
      </c>
      <c r="D12" s="1" t="str">
        <f>IF('Skill Index'!U10=7,'Skill Index'!A10,"")</f>
        <v/>
      </c>
      <c r="E12" s="1" t="str">
        <f>IF('Skill Index'!U10=6,'Skill Index'!A10,"")</f>
        <v/>
      </c>
      <c r="F12" s="1" t="str">
        <f>IF('Skill Index'!U10&lt;6,'Skill Index'!A10,"")</f>
        <v>Nilekha Repaka</v>
      </c>
    </row>
    <row r="13" spans="1:6" x14ac:dyDescent="0.35">
      <c r="A13" s="1" t="str">
        <f>IF('Skill Index'!U11=10,'Skill Index'!A11,"")</f>
        <v/>
      </c>
      <c r="B13" s="1" t="str">
        <f>IF('Skill Index'!U11=9,'Skill Index'!A11,"")</f>
        <v/>
      </c>
      <c r="C13" s="1" t="str">
        <f>IF('Skill Index'!U11=8,'Skill Index'!A11,"")</f>
        <v/>
      </c>
      <c r="D13" s="1" t="str">
        <f>IF('Skill Index'!U11=7,'Skill Index'!A11,"")</f>
        <v/>
      </c>
      <c r="E13" s="1" t="str">
        <f>IF('Skill Index'!U11=6,'Skill Index'!A11,"")</f>
        <v/>
      </c>
      <c r="F13" s="1" t="str">
        <f>IF('Skill Index'!U11&lt;6,'Skill Index'!A11,"")</f>
        <v>Pawan Rathore</v>
      </c>
    </row>
    <row r="14" spans="1:6" x14ac:dyDescent="0.35">
      <c r="A14" s="1" t="str">
        <f>IF('Skill Index'!U12=10,'Skill Index'!A12,"")</f>
        <v/>
      </c>
      <c r="B14" s="1" t="str">
        <f>IF('Skill Index'!U12=9,'Skill Index'!A12,"")</f>
        <v/>
      </c>
      <c r="C14" s="1" t="str">
        <f>IF('Skill Index'!U12=8,'Skill Index'!A12,"")</f>
        <v/>
      </c>
      <c r="D14" s="1" t="str">
        <f>IF('Skill Index'!U12=7,'Skill Index'!A12,"")</f>
        <v/>
      </c>
      <c r="E14" s="1" t="str">
        <f>IF('Skill Index'!U12=6,'Skill Index'!A12,"")</f>
        <v/>
      </c>
      <c r="F14" s="1" t="str">
        <f>IF('Skill Index'!U12&lt;6,'Skill Index'!A12,"")</f>
        <v>Priyesh Tiwari</v>
      </c>
    </row>
    <row r="15" spans="1:6" x14ac:dyDescent="0.35">
      <c r="A15" s="1" t="str">
        <f>IF('Skill Index'!U13=10,'Skill Index'!A13,"")</f>
        <v/>
      </c>
      <c r="B15" s="1" t="str">
        <f>IF('Skill Index'!U13=9,'Skill Index'!A13,"")</f>
        <v/>
      </c>
      <c r="C15" s="1" t="str">
        <f>IF('Skill Index'!U13=8,'Skill Index'!A13,"")</f>
        <v/>
      </c>
      <c r="D15" s="1" t="str">
        <f>IF('Skill Index'!U13=7,'Skill Index'!A13,"")</f>
        <v/>
      </c>
      <c r="E15" s="1" t="str">
        <f>IF('Skill Index'!U13=6,'Skill Index'!A13,"")</f>
        <v/>
      </c>
      <c r="F15" s="1" t="str">
        <f>IF('Skill Index'!U13&lt;6,'Skill Index'!A13,"")</f>
        <v>Rahul Kumar</v>
      </c>
    </row>
    <row r="16" spans="1:6" x14ac:dyDescent="0.35">
      <c r="A16" s="1" t="str">
        <f>IF('Skill Index'!U14=10,'Skill Index'!A14,"")</f>
        <v/>
      </c>
      <c r="B16" s="1" t="str">
        <f>IF('Skill Index'!U14=9,'Skill Index'!A14,"")</f>
        <v/>
      </c>
      <c r="C16" s="1" t="str">
        <f>IF('Skill Index'!U14=8,'Skill Index'!A14,"")</f>
        <v/>
      </c>
      <c r="D16" s="1" t="str">
        <f>IF('Skill Index'!U14=7,'Skill Index'!A14,"")</f>
        <v/>
      </c>
      <c r="E16" s="1" t="str">
        <f>IF('Skill Index'!U14=6,'Skill Index'!A14,"")</f>
        <v/>
      </c>
      <c r="F16" s="1" t="str">
        <f>IF('Skill Index'!U14&lt;6,'Skill Index'!A14,"")</f>
        <v>Ramkrishna Kadiya</v>
      </c>
    </row>
    <row r="17" spans="1:6" x14ac:dyDescent="0.35">
      <c r="A17" s="1" t="str">
        <f>IF('Skill Index'!U15=10,'Skill Index'!A15,"")</f>
        <v/>
      </c>
      <c r="B17" s="1" t="str">
        <f>IF('Skill Index'!U15=9,'Skill Index'!A15,"")</f>
        <v/>
      </c>
      <c r="C17" s="1" t="str">
        <f>IF('Skill Index'!U15=8,'Skill Index'!A15,"")</f>
        <v/>
      </c>
      <c r="D17" s="1" t="str">
        <f>IF('Skill Index'!U15=7,'Skill Index'!A15,"")</f>
        <v/>
      </c>
      <c r="E17" s="1" t="str">
        <f>IF('Skill Index'!U15=6,'Skill Index'!A15,"")</f>
        <v/>
      </c>
      <c r="F17" s="1" t="str">
        <f>IF('Skill Index'!U15&lt;6,'Skill Index'!A15,"")</f>
        <v>Revanth Anguluri</v>
      </c>
    </row>
    <row r="18" spans="1:6" x14ac:dyDescent="0.35">
      <c r="A18" s="1" t="str">
        <f>IF('Skill Index'!U16=10,'Skill Index'!A16,"")</f>
        <v/>
      </c>
      <c r="B18" s="1" t="str">
        <f>IF('Skill Index'!U16=9,'Skill Index'!A16,"")</f>
        <v/>
      </c>
      <c r="C18" s="1" t="str">
        <f>IF('Skill Index'!U16=8,'Skill Index'!A16,"")</f>
        <v/>
      </c>
      <c r="D18" s="1" t="str">
        <f>IF('Skill Index'!U16=7,'Skill Index'!A16,"")</f>
        <v>Sagar Sable</v>
      </c>
      <c r="E18" s="1" t="str">
        <f>IF('Skill Index'!U16=6,'Skill Index'!A16,"")</f>
        <v/>
      </c>
      <c r="F18" s="1" t="str">
        <f>IF('Skill Index'!U16&lt;6,'Skill Index'!A16,"")</f>
        <v/>
      </c>
    </row>
    <row r="19" spans="1:6" x14ac:dyDescent="0.35">
      <c r="A19" s="1" t="str">
        <f>IF('Skill Index'!U17=10,'Skill Index'!A17,"")</f>
        <v/>
      </c>
      <c r="B19" s="1" t="str">
        <f>IF('Skill Index'!U17=9,'Skill Index'!A17,"")</f>
        <v/>
      </c>
      <c r="C19" s="1" t="str">
        <f>IF('Skill Index'!U17=8,'Skill Index'!A17,"")</f>
        <v/>
      </c>
      <c r="D19" s="1" t="str">
        <f>IF('Skill Index'!U17=7,'Skill Index'!A17,"")</f>
        <v/>
      </c>
      <c r="E19" s="1" t="str">
        <f>IF('Skill Index'!U17=6,'Skill Index'!A17,"")</f>
        <v/>
      </c>
      <c r="F19" s="1" t="str">
        <f>IF('Skill Index'!U17&lt;6,'Skill Index'!A17,"")</f>
        <v>Shreya Ramprakash</v>
      </c>
    </row>
    <row r="20" spans="1:6" x14ac:dyDescent="0.35">
      <c r="A20" s="1" t="str">
        <f>IF('Skill Index'!U18=10,'Skill Index'!A18,"")</f>
        <v/>
      </c>
      <c r="B20" s="1" t="str">
        <f>IF('Skill Index'!U18=9,'Skill Index'!A18,"")</f>
        <v/>
      </c>
      <c r="C20" s="1" t="str">
        <f>IF('Skill Index'!U18=8,'Skill Index'!A18,"")</f>
        <v>Shreyas Risodkar</v>
      </c>
      <c r="D20" s="1" t="str">
        <f>IF('Skill Index'!U18=7,'Skill Index'!A18,"")</f>
        <v/>
      </c>
      <c r="E20" s="1" t="str">
        <f>IF('Skill Index'!U18=6,'Skill Index'!A18,"")</f>
        <v/>
      </c>
      <c r="F20" s="1" t="str">
        <f>IF('Skill Index'!U18&lt;6,'Skill Index'!A18,"")</f>
        <v/>
      </c>
    </row>
    <row r="21" spans="1:6" x14ac:dyDescent="0.35">
      <c r="A21" s="1" t="str">
        <f>IF('Skill Index'!U19=10,'Skill Index'!A19,"")</f>
        <v/>
      </c>
      <c r="B21" s="1" t="str">
        <f>IF('Skill Index'!U19=9,'Skill Index'!A19,"")</f>
        <v/>
      </c>
      <c r="C21" s="1" t="str">
        <f>IF('Skill Index'!U19=8,'Skill Index'!A19,"")</f>
        <v>Srikirti Raj</v>
      </c>
      <c r="D21" s="1" t="str">
        <f>IF('Skill Index'!U19=7,'Skill Index'!A19,"")</f>
        <v/>
      </c>
      <c r="E21" s="1" t="str">
        <f>IF('Skill Index'!U19=6,'Skill Index'!A19,"")</f>
        <v/>
      </c>
      <c r="F21" s="1" t="str">
        <f>IF('Skill Index'!U19&lt;6,'Skill Index'!A19,"")</f>
        <v/>
      </c>
    </row>
    <row r="22" spans="1:6" x14ac:dyDescent="0.35">
      <c r="A22" s="1" t="str">
        <f>IF('Skill Index'!U20=10,'Skill Index'!A20,"")</f>
        <v/>
      </c>
      <c r="B22" s="1" t="str">
        <f>IF('Skill Index'!U20=9,'Skill Index'!A20,"")</f>
        <v/>
      </c>
      <c r="C22" s="1" t="str">
        <f>IF('Skill Index'!U20=8,'Skill Index'!A20,"")</f>
        <v/>
      </c>
      <c r="D22" s="1" t="str">
        <f>IF('Skill Index'!U20=7,'Skill Index'!A20,"")</f>
        <v/>
      </c>
      <c r="E22" s="1" t="str">
        <f>IF('Skill Index'!U20=6,'Skill Index'!A20,"")</f>
        <v/>
      </c>
      <c r="F22" s="1" t="str">
        <f>IF('Skill Index'!U20&lt;6,'Skill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4EF4-9D04-46A0-A699-2E58673FDC7B}">
  <sheetPr codeName="Sheet22"/>
  <dimension ref="A1:F22"/>
  <sheetViews>
    <sheetView workbookViewId="0">
      <selection activeCell="J15" sqref="J15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254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Index'!V4=10,'Skill Index'!A4,"")</f>
        <v/>
      </c>
      <c r="B6" s="1" t="str">
        <f>IF('Skill Index'!V4=9,'Skill Index'!A4,"")</f>
        <v/>
      </c>
      <c r="C6" s="1" t="str">
        <f>IF('Skill Index'!V4=8,'Skill Index'!A4,"")</f>
        <v/>
      </c>
      <c r="D6" s="1" t="str">
        <f>IF('Skill Index'!V4=7,'Skill Index'!A4,"")</f>
        <v/>
      </c>
      <c r="E6" s="1" t="str">
        <f>IF('Skill Index'!V4=6,'Skill Index'!A4,"")</f>
        <v>Ankit Rajput</v>
      </c>
      <c r="F6" s="1" t="str">
        <f>IF('Skill Index'!V4&lt;6,'Skill Index'!A4,"")</f>
        <v/>
      </c>
    </row>
    <row r="7" spans="1:6" x14ac:dyDescent="0.35">
      <c r="A7" s="1" t="str">
        <f>IF('Skill Index'!V5=10,'Skill Index'!A5,"")</f>
        <v/>
      </c>
      <c r="B7" s="1" t="str">
        <f>IF('Skill Index'!V5=9,'Skill Index'!A5,"")</f>
        <v/>
      </c>
      <c r="C7" s="1" t="str">
        <f>IF('Skill Index'!V5=8,'Skill Index'!A5,"")</f>
        <v/>
      </c>
      <c r="D7" s="1" t="str">
        <f>IF('Skill Index'!V5=7,'Skill Index'!A5,"")</f>
        <v/>
      </c>
      <c r="E7" s="1" t="str">
        <f>IF('Skill Index'!V5=6,'Skill Index'!A5,"")</f>
        <v/>
      </c>
      <c r="F7" s="1" t="str">
        <f>IF('Skill Index'!V5&lt;6,'Skill Index'!A5,"")</f>
        <v>Anusha Gunda</v>
      </c>
    </row>
    <row r="8" spans="1:6" x14ac:dyDescent="0.35">
      <c r="A8" s="1" t="str">
        <f>IF('Skill Index'!V6=10,'Skill Index'!A6,"")</f>
        <v/>
      </c>
      <c r="B8" s="1" t="str">
        <f>IF('Skill Index'!V6=9,'Skill Index'!A6,"")</f>
        <v/>
      </c>
      <c r="C8" s="1" t="str">
        <f>IF('Skill Index'!V6=8,'Skill Index'!A6,"")</f>
        <v/>
      </c>
      <c r="D8" s="1" t="str">
        <f>IF('Skill Index'!V6=7,'Skill Index'!A6,"")</f>
        <v/>
      </c>
      <c r="E8" s="1" t="str">
        <f>IF('Skill Index'!V6=6,'Skill Index'!A6,"")</f>
        <v/>
      </c>
      <c r="F8" s="1" t="str">
        <f>IF('Skill Index'!V6&lt;6,'Skill Index'!A6,"")</f>
        <v>Arun Kumar</v>
      </c>
    </row>
    <row r="9" spans="1:6" x14ac:dyDescent="0.35">
      <c r="A9" s="1" t="str">
        <f>IF('Skill Index'!V7=10,'Skill Index'!A7,"")</f>
        <v/>
      </c>
      <c r="B9" s="1" t="str">
        <f>IF('Skill Index'!V7=9,'Skill Index'!A7,"")</f>
        <v/>
      </c>
      <c r="C9" s="1" t="str">
        <f>IF('Skill Index'!V7=8,'Skill Index'!A7,"")</f>
        <v/>
      </c>
      <c r="D9" s="1" t="str">
        <f>IF('Skill Index'!V7=7,'Skill Index'!A7,"")</f>
        <v/>
      </c>
      <c r="E9" s="1" t="str">
        <f>IF('Skill Index'!V7=6,'Skill Index'!A7,"")</f>
        <v/>
      </c>
      <c r="F9" s="1" t="str">
        <f>IF('Skill Index'!V7&lt;6,'Skill Index'!A7,"")</f>
        <v>Ashraya H D</v>
      </c>
    </row>
    <row r="10" spans="1:6" x14ac:dyDescent="0.35">
      <c r="A10" s="1" t="str">
        <f>IF('Skill Index'!V8=10,'Skill Index'!A8,"")</f>
        <v/>
      </c>
      <c r="B10" s="1" t="str">
        <f>IF('Skill Index'!V8=9,'Skill Index'!A8,"")</f>
        <v/>
      </c>
      <c r="C10" s="1" t="str">
        <f>IF('Skill Index'!V8=8,'Skill Index'!A8,"")</f>
        <v/>
      </c>
      <c r="D10" s="1" t="str">
        <f>IF('Skill Index'!V8=7,'Skill Index'!A8,"")</f>
        <v/>
      </c>
      <c r="E10" s="1" t="str">
        <f>IF('Skill Index'!V8=6,'Skill Index'!A8,"")</f>
        <v/>
      </c>
      <c r="F10" s="1" t="str">
        <f>IF('Skill Index'!V8&lt;6,'Skill Index'!A8,"")</f>
        <v>Jeet Doshi</v>
      </c>
    </row>
    <row r="11" spans="1:6" x14ac:dyDescent="0.35">
      <c r="A11" s="1" t="str">
        <f>IF('Skill Index'!V9=10,'Skill Index'!A9,"")</f>
        <v/>
      </c>
      <c r="B11" s="1" t="str">
        <f>IF('Skill Index'!V9=9,'Skill Index'!A9,"")</f>
        <v/>
      </c>
      <c r="C11" s="1" t="str">
        <f>IF('Skill Index'!V9=8,'Skill Index'!A9,"")</f>
        <v/>
      </c>
      <c r="D11" s="1" t="str">
        <f>IF('Skill Index'!V9=7,'Skill Index'!A9,"")</f>
        <v/>
      </c>
      <c r="E11" s="1" t="str">
        <f>IF('Skill Index'!V9=6,'Skill Index'!A9,"")</f>
        <v/>
      </c>
      <c r="F11" s="1" t="str">
        <f>IF('Skill Index'!V9&lt;6,'Skill Index'!A9,"")</f>
        <v>Mahesh Kumar</v>
      </c>
    </row>
    <row r="12" spans="1:6" x14ac:dyDescent="0.35">
      <c r="A12" s="1" t="str">
        <f>IF('Skill Index'!V10=10,'Skill Index'!A10,"")</f>
        <v/>
      </c>
      <c r="B12" s="1" t="str">
        <f>IF('Skill Index'!V10=9,'Skill Index'!A10,"")</f>
        <v/>
      </c>
      <c r="C12" s="1" t="str">
        <f>IF('Skill Index'!V10=8,'Skill Index'!A10,"")</f>
        <v/>
      </c>
      <c r="D12" s="1" t="str">
        <f>IF('Skill Index'!V10=7,'Skill Index'!A10,"")</f>
        <v/>
      </c>
      <c r="E12" s="1" t="str">
        <f>IF('Skill Index'!V10=6,'Skill Index'!A10,"")</f>
        <v/>
      </c>
      <c r="F12" s="1" t="str">
        <f>IF('Skill Index'!V10&lt;6,'Skill Index'!A10,"")</f>
        <v>Nilekha Repaka</v>
      </c>
    </row>
    <row r="13" spans="1:6" x14ac:dyDescent="0.35">
      <c r="A13" s="1" t="str">
        <f>IF('Skill Index'!V11=10,'Skill Index'!A11,"")</f>
        <v/>
      </c>
      <c r="B13" s="1" t="str">
        <f>IF('Skill Index'!V11=9,'Skill Index'!A11,"")</f>
        <v/>
      </c>
      <c r="C13" s="1" t="str">
        <f>IF('Skill Index'!V11=8,'Skill Index'!A11,"")</f>
        <v/>
      </c>
      <c r="D13" s="1" t="str">
        <f>IF('Skill Index'!V11=7,'Skill Index'!A11,"")</f>
        <v/>
      </c>
      <c r="E13" s="1" t="str">
        <f>IF('Skill Index'!V11=6,'Skill Index'!A11,"")</f>
        <v/>
      </c>
      <c r="F13" s="1" t="str">
        <f>IF('Skill Index'!V11&lt;6,'Skill Index'!A11,"")</f>
        <v>Pawan Rathore</v>
      </c>
    </row>
    <row r="14" spans="1:6" x14ac:dyDescent="0.35">
      <c r="A14" s="1" t="str">
        <f>IF('Skill Index'!V12=10,'Skill Index'!A12,"")</f>
        <v/>
      </c>
      <c r="B14" s="1" t="str">
        <f>IF('Skill Index'!V12=9,'Skill Index'!A12,"")</f>
        <v/>
      </c>
      <c r="C14" s="1" t="str">
        <f>IF('Skill Index'!V12=8,'Skill Index'!A12,"")</f>
        <v/>
      </c>
      <c r="D14" s="1" t="str">
        <f>IF('Skill Index'!V12=7,'Skill Index'!A12,"")</f>
        <v/>
      </c>
      <c r="E14" s="1" t="str">
        <f>IF('Skill Index'!V12=6,'Skill Index'!A12,"")</f>
        <v/>
      </c>
      <c r="F14" s="1" t="str">
        <f>IF('Skill Index'!V12&lt;6,'Skill Index'!A12,"")</f>
        <v>Priyesh Tiwari</v>
      </c>
    </row>
    <row r="15" spans="1:6" x14ac:dyDescent="0.35">
      <c r="A15" s="1" t="str">
        <f>IF('Skill Index'!V13=10,'Skill Index'!A13,"")</f>
        <v/>
      </c>
      <c r="B15" s="1" t="str">
        <f>IF('Skill Index'!V13=9,'Skill Index'!A13,"")</f>
        <v/>
      </c>
      <c r="C15" s="1" t="str">
        <f>IF('Skill Index'!V13=8,'Skill Index'!A13,"")</f>
        <v/>
      </c>
      <c r="D15" s="1" t="str">
        <f>IF('Skill Index'!V13=7,'Skill Index'!A13,"")</f>
        <v/>
      </c>
      <c r="E15" s="1" t="str">
        <f>IF('Skill Index'!V13=6,'Skill Index'!A13,"")</f>
        <v/>
      </c>
      <c r="F15" s="1" t="str">
        <f>IF('Skill Index'!V13&lt;6,'Skill Index'!A13,"")</f>
        <v>Rahul Kumar</v>
      </c>
    </row>
    <row r="16" spans="1:6" x14ac:dyDescent="0.35">
      <c r="A16" s="1" t="str">
        <f>IF('Skill Index'!V14=10,'Skill Index'!A14,"")</f>
        <v/>
      </c>
      <c r="B16" s="1" t="str">
        <f>IF('Skill Index'!V14=9,'Skill Index'!A14,"")</f>
        <v/>
      </c>
      <c r="C16" s="1" t="str">
        <f>IF('Skill Index'!V14=8,'Skill Index'!A14,"")</f>
        <v/>
      </c>
      <c r="D16" s="1" t="str">
        <f>IF('Skill Index'!V14=7,'Skill Index'!A14,"")</f>
        <v/>
      </c>
      <c r="E16" s="1" t="str">
        <f>IF('Skill Index'!V14=6,'Skill Index'!A14,"")</f>
        <v/>
      </c>
      <c r="F16" s="1" t="str">
        <f>IF('Skill Index'!V14&lt;6,'Skill Index'!A14,"")</f>
        <v>Ramkrishna Kadiya</v>
      </c>
    </row>
    <row r="17" spans="1:6" x14ac:dyDescent="0.35">
      <c r="A17" s="1" t="str">
        <f>IF('Skill Index'!V15=10,'Skill Index'!A15,"")</f>
        <v/>
      </c>
      <c r="B17" s="1" t="str">
        <f>IF('Skill Index'!V15=9,'Skill Index'!A15,"")</f>
        <v/>
      </c>
      <c r="C17" s="1" t="str">
        <f>IF('Skill Index'!V15=8,'Skill Index'!A15,"")</f>
        <v/>
      </c>
      <c r="D17" s="1" t="str">
        <f>IF('Skill Index'!V15=7,'Skill Index'!A15,"")</f>
        <v/>
      </c>
      <c r="E17" s="1" t="str">
        <f>IF('Skill Index'!V15=6,'Skill Index'!A15,"")</f>
        <v>Revanth Anguluri</v>
      </c>
      <c r="F17" s="1" t="str">
        <f>IF('Skill Index'!V15&lt;6,'Skill Index'!A15,"")</f>
        <v/>
      </c>
    </row>
    <row r="18" spans="1:6" x14ac:dyDescent="0.35">
      <c r="A18" s="1" t="str">
        <f>IF('Skill Index'!V16=10,'Skill Index'!A16,"")</f>
        <v/>
      </c>
      <c r="B18" s="1" t="str">
        <f>IF('Skill Index'!V16=9,'Skill Index'!A16,"")</f>
        <v/>
      </c>
      <c r="C18" s="1" t="str">
        <f>IF('Skill Index'!V16=8,'Skill Index'!A16,"")</f>
        <v/>
      </c>
      <c r="D18" s="1" t="str">
        <f>IF('Skill Index'!V16=7,'Skill Index'!A16,"")</f>
        <v/>
      </c>
      <c r="E18" s="1" t="str">
        <f>IF('Skill Index'!V16=6,'Skill Index'!A16,"")</f>
        <v/>
      </c>
      <c r="F18" s="1" t="str">
        <f>IF('Skill Index'!V16&lt;6,'Skill Index'!A16,"")</f>
        <v>Sagar Sable</v>
      </c>
    </row>
    <row r="19" spans="1:6" x14ac:dyDescent="0.35">
      <c r="A19" s="1" t="str">
        <f>IF('Skill Index'!V17=10,'Skill Index'!A17,"")</f>
        <v/>
      </c>
      <c r="B19" s="1" t="str">
        <f>IF('Skill Index'!V17=9,'Skill Index'!A17,"")</f>
        <v/>
      </c>
      <c r="C19" s="1" t="str">
        <f>IF('Skill Index'!V17=8,'Skill Index'!A17,"")</f>
        <v/>
      </c>
      <c r="D19" s="1" t="str">
        <f>IF('Skill Index'!V17=7,'Skill Index'!A17,"")</f>
        <v/>
      </c>
      <c r="E19" s="1" t="str">
        <f>IF('Skill Index'!V17=6,'Skill Index'!A17,"")</f>
        <v/>
      </c>
      <c r="F19" s="1" t="str">
        <f>IF('Skill Index'!V17&lt;6,'Skill Index'!A17,"")</f>
        <v>Shreya Ramprakash</v>
      </c>
    </row>
    <row r="20" spans="1:6" x14ac:dyDescent="0.35">
      <c r="A20" s="1" t="str">
        <f>IF('Skill Index'!V18=10,'Skill Index'!A18,"")</f>
        <v/>
      </c>
      <c r="B20" s="1" t="str">
        <f>IF('Skill Index'!V18=9,'Skill Index'!A18,"")</f>
        <v/>
      </c>
      <c r="C20" s="1" t="str">
        <f>IF('Skill Index'!V18=8,'Skill Index'!A18,"")</f>
        <v/>
      </c>
      <c r="D20" s="1" t="str">
        <f>IF('Skill Index'!V18=7,'Skill Index'!A18,"")</f>
        <v/>
      </c>
      <c r="E20" s="1" t="str">
        <f>IF('Skill Index'!V18=6,'Skill Index'!A18,"")</f>
        <v/>
      </c>
      <c r="F20" s="1" t="str">
        <f>IF('Skill Index'!V18&lt;6,'Skill Index'!A18,"")</f>
        <v>Shreyas Risodkar</v>
      </c>
    </row>
    <row r="21" spans="1:6" x14ac:dyDescent="0.35">
      <c r="A21" s="1" t="str">
        <f>IF('Skill Index'!V19=10,'Skill Index'!A19,"")</f>
        <v/>
      </c>
      <c r="B21" s="1" t="str">
        <f>IF('Skill Index'!V19=9,'Skill Index'!A19,"")</f>
        <v/>
      </c>
      <c r="C21" s="1" t="str">
        <f>IF('Skill Index'!V19=8,'Skill Index'!A19,"")</f>
        <v>Srikirti Raj</v>
      </c>
      <c r="D21" s="1" t="str">
        <f>IF('Skill Index'!V19=7,'Skill Index'!A19,"")</f>
        <v/>
      </c>
      <c r="E21" s="1" t="str">
        <f>IF('Skill Index'!V19=6,'Skill Index'!A19,"")</f>
        <v/>
      </c>
      <c r="F21" s="1" t="str">
        <f>IF('Skill Index'!V19&lt;6,'Skill Index'!A19,"")</f>
        <v/>
      </c>
    </row>
    <row r="22" spans="1:6" x14ac:dyDescent="0.35">
      <c r="A22" s="1" t="str">
        <f>IF('Skill Index'!V20=10,'Skill Index'!A20,"")</f>
        <v/>
      </c>
      <c r="B22" s="1" t="str">
        <f>IF('Skill Index'!V20=9,'Skill Index'!A20,"")</f>
        <v/>
      </c>
      <c r="C22" s="1" t="str">
        <f>IF('Skill Index'!V20=8,'Skill Index'!A20,"")</f>
        <v/>
      </c>
      <c r="D22" s="1" t="str">
        <f>IF('Skill Index'!V20=7,'Skill Index'!A20,"")</f>
        <v/>
      </c>
      <c r="E22" s="1" t="str">
        <f>IF('Skill Index'!V20=6,'Skill Index'!A20,"")</f>
        <v/>
      </c>
      <c r="F22" s="1" t="str">
        <f>IF('Skill Index'!V20&lt;6,'Skill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AA3F-E871-4F66-926C-0AE2581F4867}">
  <sheetPr codeName="Sheet23"/>
  <dimension ref="A1:F22"/>
  <sheetViews>
    <sheetView workbookViewId="0">
      <selection activeCell="D7" sqref="D7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295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Index'!W4=10,'Skill Index'!A4,"")</f>
        <v/>
      </c>
      <c r="B6" s="1" t="str">
        <f>IF('Skill Index'!W4=9,'Skill Index'!A4,"")</f>
        <v/>
      </c>
      <c r="C6" s="1" t="str">
        <f>IF('Skill Index'!W4=8,'Skill Index'!A4,"")</f>
        <v/>
      </c>
      <c r="D6" s="1" t="str">
        <f>IF('Skill Index'!W4=7,'Skill Index'!A4,"")</f>
        <v/>
      </c>
      <c r="E6" s="1" t="str">
        <f>IF('Skill Index'!W4=6,'Skill Index'!A4,"")</f>
        <v/>
      </c>
      <c r="F6" s="1" t="str">
        <f>IF('Skill Index'!W4&lt;6,'Skill Index'!A4,"")</f>
        <v>Ankit Rajput</v>
      </c>
    </row>
    <row r="7" spans="1:6" x14ac:dyDescent="0.35">
      <c r="A7" s="1" t="str">
        <f>IF('Skill Index'!W5=10,'Skill Index'!A5,"")</f>
        <v/>
      </c>
      <c r="B7" s="1" t="str">
        <f>IF('Skill Index'!W5=9,'Skill Index'!A5,"")</f>
        <v/>
      </c>
      <c r="C7" s="1" t="str">
        <f>IF('Skill Index'!W5=8,'Skill Index'!A5,"")</f>
        <v/>
      </c>
      <c r="D7" s="1" t="str">
        <f>IF('Skill Index'!W5=7,'Skill Index'!A5,"")</f>
        <v/>
      </c>
      <c r="E7" s="1" t="str">
        <f>IF('Skill Index'!W5=6,'Skill Index'!A5,"")</f>
        <v/>
      </c>
      <c r="F7" s="1" t="str">
        <f>IF('Skill Index'!W5&lt;6,'Skill Index'!A5,"")</f>
        <v>Anusha Gunda</v>
      </c>
    </row>
    <row r="8" spans="1:6" x14ac:dyDescent="0.35">
      <c r="A8" s="1" t="str">
        <f>IF('Skill Index'!W6=10,'Skill Index'!A6,"")</f>
        <v/>
      </c>
      <c r="B8" s="1" t="str">
        <f>IF('Skill Index'!W6=9,'Skill Index'!A6,"")</f>
        <v/>
      </c>
      <c r="C8" s="1" t="str">
        <f>IF('Skill Index'!W6=8,'Skill Index'!A6,"")</f>
        <v/>
      </c>
      <c r="D8" s="1" t="str">
        <f>IF('Skill Index'!W6=7,'Skill Index'!A6,"")</f>
        <v/>
      </c>
      <c r="E8" s="1" t="str">
        <f>IF('Skill Index'!W6=6,'Skill Index'!A6,"")</f>
        <v/>
      </c>
      <c r="F8" s="1" t="str">
        <f>IF('Skill Index'!W6&lt;6,'Skill Index'!A6,"")</f>
        <v>Arun Kumar</v>
      </c>
    </row>
    <row r="9" spans="1:6" x14ac:dyDescent="0.35">
      <c r="A9" s="1" t="str">
        <f>IF('Skill Index'!W7=10,'Skill Index'!A7,"")</f>
        <v/>
      </c>
      <c r="B9" s="1" t="str">
        <f>IF('Skill Index'!W7=9,'Skill Index'!A7,"")</f>
        <v/>
      </c>
      <c r="C9" s="1" t="str">
        <f>IF('Skill Index'!W7=8,'Skill Index'!A7,"")</f>
        <v/>
      </c>
      <c r="D9" s="1" t="str">
        <f>IF('Skill Index'!W7=7,'Skill Index'!A7,"")</f>
        <v/>
      </c>
      <c r="E9" s="1" t="str">
        <f>IF('Skill Index'!W7=6,'Skill Index'!A7,"")</f>
        <v/>
      </c>
      <c r="F9" s="1" t="str">
        <f>IF('Skill Index'!W7&lt;6,'Skill Index'!A7,"")</f>
        <v>Ashraya H D</v>
      </c>
    </row>
    <row r="10" spans="1:6" x14ac:dyDescent="0.35">
      <c r="A10" s="1" t="str">
        <f>IF('Skill Index'!W8=10,'Skill Index'!A8,"")</f>
        <v/>
      </c>
      <c r="B10" s="1" t="str">
        <f>IF('Skill Index'!W8=9,'Skill Index'!A8,"")</f>
        <v/>
      </c>
      <c r="C10" s="1" t="str">
        <f>IF('Skill Index'!W8=8,'Skill Index'!A8,"")</f>
        <v/>
      </c>
      <c r="D10" s="1" t="str">
        <f>IF('Skill Index'!W8=7,'Skill Index'!A8,"")</f>
        <v/>
      </c>
      <c r="E10" s="1" t="str">
        <f>IF('Skill Index'!W8=6,'Skill Index'!A8,"")</f>
        <v/>
      </c>
      <c r="F10" s="1" t="str">
        <f>IF('Skill Index'!W8&lt;6,'Skill Index'!A8,"")</f>
        <v>Jeet Doshi</v>
      </c>
    </row>
    <row r="11" spans="1:6" x14ac:dyDescent="0.35">
      <c r="A11" s="1" t="str">
        <f>IF('Skill Index'!W9=10,'Skill Index'!A9,"")</f>
        <v/>
      </c>
      <c r="B11" s="1" t="str">
        <f>IF('Skill Index'!W9=9,'Skill Index'!A9,"")</f>
        <v/>
      </c>
      <c r="C11" s="1" t="str">
        <f>IF('Skill Index'!W9=8,'Skill Index'!A9,"")</f>
        <v/>
      </c>
      <c r="D11" s="1" t="str">
        <f>IF('Skill Index'!W9=7,'Skill Index'!A9,"")</f>
        <v/>
      </c>
      <c r="E11" s="1" t="str">
        <f>IF('Skill Index'!W9=6,'Skill Index'!A9,"")</f>
        <v/>
      </c>
      <c r="F11" s="1" t="str">
        <f>IF('Skill Index'!W9&lt;6,'Skill Index'!A9,"")</f>
        <v>Mahesh Kumar</v>
      </c>
    </row>
    <row r="12" spans="1:6" x14ac:dyDescent="0.35">
      <c r="A12" s="1" t="str">
        <f>IF('Skill Index'!W10=10,'Skill Index'!A10,"")</f>
        <v/>
      </c>
      <c r="B12" s="1" t="str">
        <f>IF('Skill Index'!W10=9,'Skill Index'!A10,"")</f>
        <v/>
      </c>
      <c r="C12" s="1" t="str">
        <f>IF('Skill Index'!W10=8,'Skill Index'!A10,"")</f>
        <v/>
      </c>
      <c r="D12" s="1" t="str">
        <f>IF('Skill Index'!W10=7,'Skill Index'!A10,"")</f>
        <v/>
      </c>
      <c r="E12" s="1" t="str">
        <f>IF('Skill Index'!W10=6,'Skill Index'!A10,"")</f>
        <v/>
      </c>
      <c r="F12" s="1" t="str">
        <f>IF('Skill Index'!W10&lt;6,'Skill Index'!A10,"")</f>
        <v>Nilekha Repaka</v>
      </c>
    </row>
    <row r="13" spans="1:6" x14ac:dyDescent="0.35">
      <c r="A13" s="1" t="str">
        <f>IF('Skill Index'!W11=10,'Skill Index'!A11,"")</f>
        <v/>
      </c>
      <c r="B13" s="1" t="str">
        <f>IF('Skill Index'!W11=9,'Skill Index'!A11,"")</f>
        <v/>
      </c>
      <c r="C13" s="1" t="str">
        <f>IF('Skill Index'!W11=8,'Skill Index'!A11,"")</f>
        <v/>
      </c>
      <c r="D13" s="1" t="str">
        <f>IF('Skill Index'!W11=7,'Skill Index'!A11,"")</f>
        <v/>
      </c>
      <c r="E13" s="1" t="str">
        <f>IF('Skill Index'!W11=6,'Skill Index'!A11,"")</f>
        <v/>
      </c>
      <c r="F13" s="1" t="str">
        <f>IF('Skill Index'!W11&lt;6,'Skill Index'!A11,"")</f>
        <v>Pawan Rathore</v>
      </c>
    </row>
    <row r="14" spans="1:6" x14ac:dyDescent="0.35">
      <c r="A14" s="1" t="str">
        <f>IF('Skill Index'!W12=10,'Skill Index'!A12,"")</f>
        <v/>
      </c>
      <c r="B14" s="1" t="str">
        <f>IF('Skill Index'!W12=9,'Skill Index'!A12,"")</f>
        <v/>
      </c>
      <c r="C14" s="1" t="str">
        <f>IF('Skill Index'!W12=8,'Skill Index'!A12,"")</f>
        <v/>
      </c>
      <c r="D14" s="1" t="str">
        <f>IF('Skill Index'!W12=7,'Skill Index'!A12,"")</f>
        <v/>
      </c>
      <c r="E14" s="1" t="str">
        <f>IF('Skill Index'!W12=6,'Skill Index'!A12,"")</f>
        <v/>
      </c>
      <c r="F14" s="1" t="str">
        <f>IF('Skill Index'!W12&lt;6,'Skill Index'!A12,"")</f>
        <v>Priyesh Tiwari</v>
      </c>
    </row>
    <row r="15" spans="1:6" x14ac:dyDescent="0.35">
      <c r="A15" s="1" t="str">
        <f>IF('Skill Index'!W13=10,'Skill Index'!A13,"")</f>
        <v/>
      </c>
      <c r="B15" s="1" t="str">
        <f>IF('Skill Index'!W13=9,'Skill Index'!A13,"")</f>
        <v/>
      </c>
      <c r="C15" s="1" t="str">
        <f>IF('Skill Index'!W13=8,'Skill Index'!A13,"")</f>
        <v/>
      </c>
      <c r="D15" s="1" t="str">
        <f>IF('Skill Index'!W13=7,'Skill Index'!A13,"")</f>
        <v/>
      </c>
      <c r="E15" s="1" t="str">
        <f>IF('Skill Index'!W13=6,'Skill Index'!A13,"")</f>
        <v/>
      </c>
      <c r="F15" s="1" t="str">
        <f>IF('Skill Index'!W13&lt;6,'Skill Index'!A13,"")</f>
        <v>Rahul Kumar</v>
      </c>
    </row>
    <row r="16" spans="1:6" x14ac:dyDescent="0.35">
      <c r="A16" s="1" t="str">
        <f>IF('Skill Index'!W14=10,'Skill Index'!A14,"")</f>
        <v/>
      </c>
      <c r="B16" s="1" t="str">
        <f>IF('Skill Index'!W14=9,'Skill Index'!A14,"")</f>
        <v/>
      </c>
      <c r="C16" s="1" t="str">
        <f>IF('Skill Index'!W14=8,'Skill Index'!A14,"")</f>
        <v/>
      </c>
      <c r="D16" s="1" t="str">
        <f>IF('Skill Index'!W14=7,'Skill Index'!A14,"")</f>
        <v/>
      </c>
      <c r="E16" s="1" t="str">
        <f>IF('Skill Index'!W14=6,'Skill Index'!A14,"")</f>
        <v/>
      </c>
      <c r="F16" s="1" t="str">
        <f>IF('Skill Index'!W14&lt;6,'Skill Index'!A14,"")</f>
        <v>Ramkrishna Kadiya</v>
      </c>
    </row>
    <row r="17" spans="1:6" x14ac:dyDescent="0.35">
      <c r="A17" s="1" t="str">
        <f>IF('Skill Index'!W15=10,'Skill Index'!A15,"")</f>
        <v/>
      </c>
      <c r="B17" s="1" t="str">
        <f>IF('Skill Index'!W15=9,'Skill Index'!A15,"")</f>
        <v/>
      </c>
      <c r="C17" s="1" t="str">
        <f>IF('Skill Index'!W15=8,'Skill Index'!A15,"")</f>
        <v/>
      </c>
      <c r="D17" s="1" t="str">
        <f>IF('Skill Index'!W15=7,'Skill Index'!A15,"")</f>
        <v/>
      </c>
      <c r="E17" s="1" t="str">
        <f>IF('Skill Index'!W15=6,'Skill Index'!A15,"")</f>
        <v/>
      </c>
      <c r="F17" s="1" t="str">
        <f>IF('Skill Index'!W15&lt;6,'Skill Index'!A15,"")</f>
        <v>Revanth Anguluri</v>
      </c>
    </row>
    <row r="18" spans="1:6" x14ac:dyDescent="0.35">
      <c r="A18" s="1" t="str">
        <f>IF('Skill Index'!W16=10,'Skill Index'!A16,"")</f>
        <v/>
      </c>
      <c r="B18" s="1" t="str">
        <f>IF('Skill Index'!W16=9,'Skill Index'!A16,"")</f>
        <v/>
      </c>
      <c r="C18" s="1" t="str">
        <f>IF('Skill Index'!W16=8,'Skill Index'!A16,"")</f>
        <v/>
      </c>
      <c r="D18" s="1" t="str">
        <f>IF('Skill Index'!W16=7,'Skill Index'!A16,"")</f>
        <v/>
      </c>
      <c r="E18" s="1" t="str">
        <f>IF('Skill Index'!W16=6,'Skill Index'!A16,"")</f>
        <v>Sagar Sable</v>
      </c>
      <c r="F18" s="1" t="str">
        <f>IF('Skill Index'!W16&lt;6,'Skill Index'!A16,"")</f>
        <v/>
      </c>
    </row>
    <row r="19" spans="1:6" x14ac:dyDescent="0.35">
      <c r="A19" s="1" t="str">
        <f>IF('Skill Index'!W17=10,'Skill Index'!A17,"")</f>
        <v/>
      </c>
      <c r="B19" s="1" t="str">
        <f>IF('Skill Index'!W17=9,'Skill Index'!A17,"")</f>
        <v/>
      </c>
      <c r="C19" s="1" t="str">
        <f>IF('Skill Index'!W17=8,'Skill Index'!A17,"")</f>
        <v/>
      </c>
      <c r="D19" s="1" t="str">
        <f>IF('Skill Index'!W17=7,'Skill Index'!A17,"")</f>
        <v/>
      </c>
      <c r="E19" s="1" t="str">
        <f>IF('Skill Index'!W17=6,'Skill Index'!A17,"")</f>
        <v/>
      </c>
      <c r="F19" s="1" t="str">
        <f>IF('Skill Index'!W17&lt;6,'Skill Index'!A17,"")</f>
        <v>Shreya Ramprakash</v>
      </c>
    </row>
    <row r="20" spans="1:6" x14ac:dyDescent="0.35">
      <c r="A20" s="1" t="str">
        <f>IF('Skill Index'!W18=10,'Skill Index'!A18,"")</f>
        <v/>
      </c>
      <c r="B20" s="1" t="str">
        <f>IF('Skill Index'!W18=9,'Skill Index'!A18,"")</f>
        <v>Shreyas Risodkar</v>
      </c>
      <c r="C20" s="1" t="str">
        <f>IF('Skill Index'!W18=8,'Skill Index'!A18,"")</f>
        <v/>
      </c>
      <c r="D20" s="1" t="str">
        <f>IF('Skill Index'!W18=7,'Skill Index'!A18,"")</f>
        <v/>
      </c>
      <c r="E20" s="1" t="str">
        <f>IF('Skill Index'!W18=6,'Skill Index'!A18,"")</f>
        <v/>
      </c>
      <c r="F20" s="1" t="str">
        <f>IF('Skill Index'!W18&lt;6,'Skill Index'!A18,"")</f>
        <v/>
      </c>
    </row>
    <row r="21" spans="1:6" x14ac:dyDescent="0.35">
      <c r="A21" s="1" t="str">
        <f>IF('Skill Index'!W19=10,'Skill Index'!A19,"")</f>
        <v/>
      </c>
      <c r="B21" s="1" t="str">
        <f>IF('Skill Index'!W19=9,'Skill Index'!A19,"")</f>
        <v/>
      </c>
      <c r="C21" s="1" t="str">
        <f>IF('Skill Index'!W19=8,'Skill Index'!A19,"")</f>
        <v/>
      </c>
      <c r="D21" s="1" t="str">
        <f>IF('Skill Index'!W19=7,'Skill Index'!A19,"")</f>
        <v>Srikirti Raj</v>
      </c>
      <c r="E21" s="1" t="str">
        <f>IF('Skill Index'!W19=6,'Skill Index'!A19,"")</f>
        <v/>
      </c>
      <c r="F21" s="1" t="str">
        <f>IF('Skill Index'!W19&lt;6,'Skill Index'!A19,"")</f>
        <v/>
      </c>
    </row>
    <row r="22" spans="1:6" x14ac:dyDescent="0.35">
      <c r="A22" s="1" t="str">
        <f>IF('Skill Index'!W20=10,'Skill Index'!A20,"")</f>
        <v/>
      </c>
      <c r="B22" s="1" t="str">
        <f>IF('Skill Index'!W20=9,'Skill Index'!A20,"")</f>
        <v/>
      </c>
      <c r="C22" s="1" t="str">
        <f>IF('Skill Index'!W20=8,'Skill Index'!A20,"")</f>
        <v/>
      </c>
      <c r="D22" s="1" t="str">
        <f>IF('Skill Index'!W20=7,'Skill Index'!A20,"")</f>
        <v/>
      </c>
      <c r="E22" s="1" t="str">
        <f>IF('Skill Index'!W20=6,'Skill Index'!A20,"")</f>
        <v/>
      </c>
      <c r="F22" s="1" t="str">
        <f>IF('Skill Index'!W20&lt;6,'Skill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F2F8-98A6-47A6-A3A2-8289111A69FD}">
  <sheetPr codeName="Sheet24"/>
  <dimension ref="A1:F22"/>
  <sheetViews>
    <sheetView workbookViewId="0">
      <selection activeCell="D12" sqref="D12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256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Index'!X4=10,'Skill Index'!A4,"")</f>
        <v/>
      </c>
      <c r="B6" s="1" t="str">
        <f>IF('Skill Index'!X4=9,'Skill Index'!A4,"")</f>
        <v/>
      </c>
      <c r="C6" s="1" t="str">
        <f>IF('Skill Index'!X4=8,'Skill Index'!A4,"")</f>
        <v/>
      </c>
      <c r="D6" s="1" t="str">
        <f>IF('Skill Index'!X4=7,'Skill Index'!A4,"")</f>
        <v/>
      </c>
      <c r="E6" s="1" t="str">
        <f>IF('Skill Index'!X4=6,'Skill Index'!A4,"")</f>
        <v>Ankit Rajput</v>
      </c>
      <c r="F6" s="1" t="str">
        <f>IF('Skill Index'!X4&lt;6,'Skill Index'!A4,"")</f>
        <v/>
      </c>
    </row>
    <row r="7" spans="1:6" x14ac:dyDescent="0.35">
      <c r="A7" s="1" t="str">
        <f>IF('Skill Index'!X5=10,'Skill Index'!A5,"")</f>
        <v/>
      </c>
      <c r="B7" s="1" t="str">
        <f>IF('Skill Index'!X5=9,'Skill Index'!A5,"")</f>
        <v/>
      </c>
      <c r="C7" s="1" t="str">
        <f>IF('Skill Index'!X5=8,'Skill Index'!A5,"")</f>
        <v/>
      </c>
      <c r="D7" s="1" t="str">
        <f>IF('Skill Index'!X5=7,'Skill Index'!A5,"")</f>
        <v/>
      </c>
      <c r="E7" s="1" t="str">
        <f>IF('Skill Index'!X5=6,'Skill Index'!A5,"")</f>
        <v/>
      </c>
      <c r="F7" s="1" t="str">
        <f>IF('Skill Index'!X5&lt;6,'Skill Index'!A5,"")</f>
        <v>Anusha Gunda</v>
      </c>
    </row>
    <row r="8" spans="1:6" x14ac:dyDescent="0.35">
      <c r="A8" s="1" t="str">
        <f>IF('Skill Index'!X6=10,'Skill Index'!A6,"")</f>
        <v/>
      </c>
      <c r="B8" s="1" t="str">
        <f>IF('Skill Index'!X6=9,'Skill Index'!A6,"")</f>
        <v/>
      </c>
      <c r="C8" s="1" t="str">
        <f>IF('Skill Index'!X6=8,'Skill Index'!A6,"")</f>
        <v/>
      </c>
      <c r="D8" s="1" t="str">
        <f>IF('Skill Index'!X6=7,'Skill Index'!A6,"")</f>
        <v/>
      </c>
      <c r="E8" s="1" t="str">
        <f>IF('Skill Index'!X6=6,'Skill Index'!A6,"")</f>
        <v/>
      </c>
      <c r="F8" s="1" t="str">
        <f>IF('Skill Index'!X6&lt;6,'Skill Index'!A6,"")</f>
        <v>Arun Kumar</v>
      </c>
    </row>
    <row r="9" spans="1:6" x14ac:dyDescent="0.35">
      <c r="A9" s="1" t="str">
        <f>IF('Skill Index'!X7=10,'Skill Index'!A7,"")</f>
        <v/>
      </c>
      <c r="B9" s="1" t="str">
        <f>IF('Skill Index'!X7=9,'Skill Index'!A7,"")</f>
        <v/>
      </c>
      <c r="C9" s="1" t="str">
        <f>IF('Skill Index'!X7=8,'Skill Index'!A7,"")</f>
        <v/>
      </c>
      <c r="D9" s="1" t="str">
        <f>IF('Skill Index'!X7=7,'Skill Index'!A7,"")</f>
        <v>Ashraya H D</v>
      </c>
      <c r="E9" s="1" t="str">
        <f>IF('Skill Index'!X7=6,'Skill Index'!A7,"")</f>
        <v/>
      </c>
      <c r="F9" s="1" t="str">
        <f>IF('Skill Index'!X7&lt;6,'Skill Index'!A7,"")</f>
        <v/>
      </c>
    </row>
    <row r="10" spans="1:6" x14ac:dyDescent="0.35">
      <c r="A10" s="1" t="str">
        <f>IF('Skill Index'!X8=10,'Skill Index'!A8,"")</f>
        <v/>
      </c>
      <c r="B10" s="1" t="str">
        <f>IF('Skill Index'!X8=9,'Skill Index'!A8,"")</f>
        <v/>
      </c>
      <c r="C10" s="1" t="str">
        <f>IF('Skill Index'!X8=8,'Skill Index'!A8,"")</f>
        <v/>
      </c>
      <c r="D10" s="1" t="str">
        <f>IF('Skill Index'!X8=7,'Skill Index'!A8,"")</f>
        <v/>
      </c>
      <c r="E10" s="1" t="str">
        <f>IF('Skill Index'!X8=6,'Skill Index'!A8,"")</f>
        <v/>
      </c>
      <c r="F10" s="1" t="str">
        <f>IF('Skill Index'!X8&lt;6,'Skill Index'!A8,"")</f>
        <v>Jeet Doshi</v>
      </c>
    </row>
    <row r="11" spans="1:6" x14ac:dyDescent="0.35">
      <c r="A11" s="1" t="str">
        <f>IF('Skill Index'!X9=10,'Skill Index'!A9,"")</f>
        <v/>
      </c>
      <c r="B11" s="1" t="str">
        <f>IF('Skill Index'!X9=9,'Skill Index'!A9,"")</f>
        <v/>
      </c>
      <c r="C11" s="1" t="str">
        <f>IF('Skill Index'!X9=8,'Skill Index'!A9,"")</f>
        <v/>
      </c>
      <c r="D11" s="1" t="str">
        <f>IF('Skill Index'!X9=7,'Skill Index'!A9,"")</f>
        <v/>
      </c>
      <c r="E11" s="1" t="str">
        <f>IF('Skill Index'!X9=6,'Skill Index'!A9,"")</f>
        <v/>
      </c>
      <c r="F11" s="1" t="str">
        <f>IF('Skill Index'!X9&lt;6,'Skill Index'!A9,"")</f>
        <v>Mahesh Kumar</v>
      </c>
    </row>
    <row r="12" spans="1:6" x14ac:dyDescent="0.35">
      <c r="A12" s="1" t="str">
        <f>IF('Skill Index'!X10=10,'Skill Index'!A10,"")</f>
        <v/>
      </c>
      <c r="B12" s="1" t="str">
        <f>IF('Skill Index'!X10=9,'Skill Index'!A10,"")</f>
        <v/>
      </c>
      <c r="C12" s="1" t="str">
        <f>IF('Skill Index'!X10=8,'Skill Index'!A10,"")</f>
        <v/>
      </c>
      <c r="D12" s="1" t="str">
        <f>IF('Skill Index'!X10=7,'Skill Index'!A10,"")</f>
        <v/>
      </c>
      <c r="E12" s="1" t="str">
        <f>IF('Skill Index'!X10=6,'Skill Index'!A10,"")</f>
        <v/>
      </c>
      <c r="F12" s="1" t="str">
        <f>IF('Skill Index'!X10&lt;6,'Skill Index'!A10,"")</f>
        <v>Nilekha Repaka</v>
      </c>
    </row>
    <row r="13" spans="1:6" x14ac:dyDescent="0.35">
      <c r="A13" s="1" t="str">
        <f>IF('Skill Index'!X11=10,'Skill Index'!A11,"")</f>
        <v/>
      </c>
      <c r="B13" s="1" t="str">
        <f>IF('Skill Index'!X11=9,'Skill Index'!A11,"")</f>
        <v/>
      </c>
      <c r="C13" s="1" t="str">
        <f>IF('Skill Index'!X11=8,'Skill Index'!A11,"")</f>
        <v/>
      </c>
      <c r="D13" s="1" t="str">
        <f>IF('Skill Index'!X11=7,'Skill Index'!A11,"")</f>
        <v/>
      </c>
      <c r="E13" s="1" t="str">
        <f>IF('Skill Index'!X11=6,'Skill Index'!A11,"")</f>
        <v/>
      </c>
      <c r="F13" s="1" t="str">
        <f>IF('Skill Index'!X11&lt;6,'Skill Index'!A11,"")</f>
        <v>Pawan Rathore</v>
      </c>
    </row>
    <row r="14" spans="1:6" x14ac:dyDescent="0.35">
      <c r="A14" s="1" t="str">
        <f>IF('Skill Index'!X12=10,'Skill Index'!A12,"")</f>
        <v/>
      </c>
      <c r="B14" s="1" t="str">
        <f>IF('Skill Index'!X12=9,'Skill Index'!A12,"")</f>
        <v/>
      </c>
      <c r="C14" s="1" t="str">
        <f>IF('Skill Index'!X12=8,'Skill Index'!A12,"")</f>
        <v/>
      </c>
      <c r="D14" s="1" t="str">
        <f>IF('Skill Index'!X12=7,'Skill Index'!A12,"")</f>
        <v/>
      </c>
      <c r="E14" s="1" t="str">
        <f>IF('Skill Index'!X12=6,'Skill Index'!A12,"")</f>
        <v>Priyesh Tiwari</v>
      </c>
      <c r="F14" s="1" t="str">
        <f>IF('Skill Index'!X12&lt;6,'Skill Index'!A12,"")</f>
        <v/>
      </c>
    </row>
    <row r="15" spans="1:6" x14ac:dyDescent="0.35">
      <c r="A15" s="1" t="str">
        <f>IF('Skill Index'!X13=10,'Skill Index'!A13,"")</f>
        <v/>
      </c>
      <c r="B15" s="1" t="str">
        <f>IF('Skill Index'!X13=9,'Skill Index'!A13,"")</f>
        <v/>
      </c>
      <c r="C15" s="1" t="str">
        <f>IF('Skill Index'!X13=8,'Skill Index'!A13,"")</f>
        <v/>
      </c>
      <c r="D15" s="1" t="str">
        <f>IF('Skill Index'!X13=7,'Skill Index'!A13,"")</f>
        <v/>
      </c>
      <c r="E15" s="1" t="str">
        <f>IF('Skill Index'!X13=6,'Skill Index'!A13,"")</f>
        <v/>
      </c>
      <c r="F15" s="1" t="str">
        <f>IF('Skill Index'!X13&lt;6,'Skill Index'!A13,"")</f>
        <v>Rahul Kumar</v>
      </c>
    </row>
    <row r="16" spans="1:6" x14ac:dyDescent="0.35">
      <c r="A16" s="1" t="str">
        <f>IF('Skill Index'!X14=10,'Skill Index'!A14,"")</f>
        <v/>
      </c>
      <c r="B16" s="1" t="str">
        <f>IF('Skill Index'!X14=9,'Skill Index'!A14,"")</f>
        <v/>
      </c>
      <c r="C16" s="1" t="str">
        <f>IF('Skill Index'!X14=8,'Skill Index'!A14,"")</f>
        <v/>
      </c>
      <c r="D16" s="1" t="str">
        <f>IF('Skill Index'!X14=7,'Skill Index'!A14,"")</f>
        <v/>
      </c>
      <c r="E16" s="1" t="str">
        <f>IF('Skill Index'!X14=6,'Skill Index'!A14,"")</f>
        <v/>
      </c>
      <c r="F16" s="1" t="str">
        <f>IF('Skill Index'!X14&lt;6,'Skill Index'!A14,"")</f>
        <v>Ramkrishna Kadiya</v>
      </c>
    </row>
    <row r="17" spans="1:6" x14ac:dyDescent="0.35">
      <c r="A17" s="1" t="str">
        <f>IF('Skill Index'!X15=10,'Skill Index'!A15,"")</f>
        <v/>
      </c>
      <c r="B17" s="1" t="str">
        <f>IF('Skill Index'!X15=9,'Skill Index'!A15,"")</f>
        <v/>
      </c>
      <c r="C17" s="1" t="str">
        <f>IF('Skill Index'!X15=8,'Skill Index'!A15,"")</f>
        <v/>
      </c>
      <c r="D17" s="1" t="str">
        <f>IF('Skill Index'!X15=7,'Skill Index'!A15,"")</f>
        <v/>
      </c>
      <c r="E17" s="1" t="str">
        <f>IF('Skill Index'!X15=6,'Skill Index'!A15,"")</f>
        <v/>
      </c>
      <c r="F17" s="1" t="str">
        <f>IF('Skill Index'!X15&lt;6,'Skill Index'!A15,"")</f>
        <v>Revanth Anguluri</v>
      </c>
    </row>
    <row r="18" spans="1:6" x14ac:dyDescent="0.35">
      <c r="A18" s="1" t="str">
        <f>IF('Skill Index'!X16=10,'Skill Index'!A16,"")</f>
        <v/>
      </c>
      <c r="B18" s="1" t="str">
        <f>IF('Skill Index'!X16=9,'Skill Index'!A16,"")</f>
        <v/>
      </c>
      <c r="C18" s="1" t="str">
        <f>IF('Skill Index'!X16=8,'Skill Index'!A16,"")</f>
        <v/>
      </c>
      <c r="D18" s="1" t="str">
        <f>IF('Skill Index'!X16=7,'Skill Index'!A16,"")</f>
        <v/>
      </c>
      <c r="E18" s="1" t="str">
        <f>IF('Skill Index'!X16=6,'Skill Index'!A16,"")</f>
        <v/>
      </c>
      <c r="F18" s="1" t="str">
        <f>IF('Skill Index'!X16&lt;6,'Skill Index'!A16,"")</f>
        <v>Sagar Sable</v>
      </c>
    </row>
    <row r="19" spans="1:6" x14ac:dyDescent="0.35">
      <c r="A19" s="1" t="str">
        <f>IF('Skill Index'!X17=10,'Skill Index'!A17,"")</f>
        <v/>
      </c>
      <c r="B19" s="1" t="str">
        <f>IF('Skill Index'!X17=9,'Skill Index'!A17,"")</f>
        <v/>
      </c>
      <c r="C19" s="1" t="str">
        <f>IF('Skill Index'!X17=8,'Skill Index'!A17,"")</f>
        <v/>
      </c>
      <c r="D19" s="1" t="str">
        <f>IF('Skill Index'!X17=7,'Skill Index'!A17,"")</f>
        <v/>
      </c>
      <c r="E19" s="1" t="str">
        <f>IF('Skill Index'!X17=6,'Skill Index'!A17,"")</f>
        <v/>
      </c>
      <c r="F19" s="1" t="str">
        <f>IF('Skill Index'!X17&lt;6,'Skill Index'!A17,"")</f>
        <v>Shreya Ramprakash</v>
      </c>
    </row>
    <row r="20" spans="1:6" x14ac:dyDescent="0.35">
      <c r="A20" s="1" t="str">
        <f>IF('Skill Index'!X18=10,'Skill Index'!A18,"")</f>
        <v/>
      </c>
      <c r="B20" s="1" t="str">
        <f>IF('Skill Index'!X18=9,'Skill Index'!A18,"")</f>
        <v/>
      </c>
      <c r="C20" s="1" t="str">
        <f>IF('Skill Index'!X18=8,'Skill Index'!A18,"")</f>
        <v/>
      </c>
      <c r="D20" s="1" t="str">
        <f>IF('Skill Index'!X18=7,'Skill Index'!A18,"")</f>
        <v/>
      </c>
      <c r="E20" s="1" t="str">
        <f>IF('Skill Index'!X18=6,'Skill Index'!A18,"")</f>
        <v>Shreyas Risodkar</v>
      </c>
      <c r="F20" s="1" t="str">
        <f>IF('Skill Index'!X18&lt;6,'Skill Index'!A18,"")</f>
        <v/>
      </c>
    </row>
    <row r="21" spans="1:6" x14ac:dyDescent="0.35">
      <c r="A21" s="1" t="str">
        <f>IF('Skill Index'!X19=10,'Skill Index'!A19,"")</f>
        <v/>
      </c>
      <c r="B21" s="1" t="str">
        <f>IF('Skill Index'!X19=9,'Skill Index'!A19,"")</f>
        <v/>
      </c>
      <c r="C21" s="1" t="str">
        <f>IF('Skill Index'!X19=8,'Skill Index'!A19,"")</f>
        <v/>
      </c>
      <c r="D21" s="1" t="str">
        <f>IF('Skill Index'!X19=7,'Skill Index'!A19,"")</f>
        <v>Srikirti Raj</v>
      </c>
      <c r="E21" s="1" t="str">
        <f>IF('Skill Index'!X19=6,'Skill Index'!A19,"")</f>
        <v/>
      </c>
      <c r="F21" s="1" t="str">
        <f>IF('Skill Index'!X19&lt;6,'Skill Index'!A19,"")</f>
        <v/>
      </c>
    </row>
    <row r="22" spans="1:6" x14ac:dyDescent="0.35">
      <c r="A22" s="1" t="str">
        <f>IF('Skill Index'!X20=10,'Skill Index'!A20,"")</f>
        <v/>
      </c>
      <c r="B22" s="1" t="str">
        <f>IF('Skill Index'!X20=9,'Skill Index'!A20,"")</f>
        <v/>
      </c>
      <c r="C22" s="1" t="str">
        <f>IF('Skill Index'!X20=8,'Skill Index'!A20,"")</f>
        <v/>
      </c>
      <c r="D22" s="1" t="str">
        <f>IF('Skill Index'!X20=7,'Skill Index'!A20,"")</f>
        <v>Swetha KJ</v>
      </c>
      <c r="E22" s="1" t="str">
        <f>IF('Skill Index'!X20=6,'Skill Index'!A20,"")</f>
        <v/>
      </c>
      <c r="F22" s="1" t="str">
        <f>IF('Skill Index'!X20&lt;6,'Skill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2D02-1C9E-489D-9B3A-DD85B25F12F4}">
  <sheetPr codeName="Sheet25"/>
  <dimension ref="A1:F22"/>
  <sheetViews>
    <sheetView workbookViewId="0">
      <selection activeCell="H13" sqref="H13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257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Index'!Y4=10,'Skill Index'!A4,"")</f>
        <v/>
      </c>
      <c r="B6" s="1" t="str">
        <f>IF('Skill Index'!Y4=9,'Skill Index'!A4,"")</f>
        <v/>
      </c>
      <c r="C6" s="1" t="str">
        <f>IF('Skill Index'!Y4=8,'Skill Index'!A4,"")</f>
        <v/>
      </c>
      <c r="D6" s="1" t="str">
        <f>IF('Skill Index'!Y4=7,'Skill Index'!A4,"")</f>
        <v/>
      </c>
      <c r="E6" s="1" t="str">
        <f>IF('Skill Index'!Y4=6,'Skill Index'!A4,"")</f>
        <v>Ankit Rajput</v>
      </c>
      <c r="F6" s="1" t="str">
        <f>IF('Skill Index'!Y4&lt;6,'Skill Index'!A4,"")</f>
        <v/>
      </c>
    </row>
    <row r="7" spans="1:6" x14ac:dyDescent="0.35">
      <c r="A7" s="1" t="str">
        <f>IF('Skill Index'!Y5=10,'Skill Index'!A5,"")</f>
        <v/>
      </c>
      <c r="B7" s="1" t="str">
        <f>IF('Skill Index'!Y5=9,'Skill Index'!A5,"")</f>
        <v/>
      </c>
      <c r="C7" s="1" t="str">
        <f>IF('Skill Index'!Y5=8,'Skill Index'!A5,"")</f>
        <v/>
      </c>
      <c r="D7" s="1" t="str">
        <f>IF('Skill Index'!Y5=7,'Skill Index'!A5,"")</f>
        <v/>
      </c>
      <c r="E7" s="1" t="str">
        <f>IF('Skill Index'!Y5=6,'Skill Index'!A5,"")</f>
        <v/>
      </c>
      <c r="F7" s="1" t="str">
        <f>IF('Skill Index'!Y5&lt;6,'Skill Index'!A5,"")</f>
        <v>Anusha Gunda</v>
      </c>
    </row>
    <row r="8" spans="1:6" x14ac:dyDescent="0.35">
      <c r="A8" s="1" t="str">
        <f>IF('Skill Index'!Y6=10,'Skill Index'!A6,"")</f>
        <v/>
      </c>
      <c r="B8" s="1" t="str">
        <f>IF('Skill Index'!Y6=9,'Skill Index'!A6,"")</f>
        <v/>
      </c>
      <c r="C8" s="1" t="str">
        <f>IF('Skill Index'!Y6=8,'Skill Index'!A6,"")</f>
        <v/>
      </c>
      <c r="D8" s="1" t="str">
        <f>IF('Skill Index'!Y6=7,'Skill Index'!A6,"")</f>
        <v/>
      </c>
      <c r="E8" s="1" t="str">
        <f>IF('Skill Index'!Y6=6,'Skill Index'!A6,"")</f>
        <v/>
      </c>
      <c r="F8" s="1" t="str">
        <f>IF('Skill Index'!Y6&lt;6,'Skill Index'!A6,"")</f>
        <v>Arun Kumar</v>
      </c>
    </row>
    <row r="9" spans="1:6" x14ac:dyDescent="0.35">
      <c r="A9" s="1" t="str">
        <f>IF('Skill Index'!Y7=10,'Skill Index'!A7,"")</f>
        <v/>
      </c>
      <c r="B9" s="1" t="str">
        <f>IF('Skill Index'!Y7=9,'Skill Index'!A7,"")</f>
        <v/>
      </c>
      <c r="C9" s="1" t="str">
        <f>IF('Skill Index'!Y7=8,'Skill Index'!A7,"")</f>
        <v>Ashraya H D</v>
      </c>
      <c r="D9" s="1" t="str">
        <f>IF('Skill Index'!Y7=7,'Skill Index'!A7,"")</f>
        <v/>
      </c>
      <c r="E9" s="1" t="str">
        <f>IF('Skill Index'!Y7=6,'Skill Index'!A7,"")</f>
        <v/>
      </c>
      <c r="F9" s="1" t="str">
        <f>IF('Skill Index'!Y7&lt;6,'Skill Index'!A7,"")</f>
        <v/>
      </c>
    </row>
    <row r="10" spans="1:6" x14ac:dyDescent="0.35">
      <c r="A10" s="1" t="str">
        <f>IF('Skill Index'!Y8=10,'Skill Index'!A8,"")</f>
        <v/>
      </c>
      <c r="B10" s="1" t="str">
        <f>IF('Skill Index'!Y8=9,'Skill Index'!A8,"")</f>
        <v/>
      </c>
      <c r="C10" s="1" t="str">
        <f>IF('Skill Index'!Y8=8,'Skill Index'!A8,"")</f>
        <v/>
      </c>
      <c r="D10" s="1" t="str">
        <f>IF('Skill Index'!Y8=7,'Skill Index'!A8,"")</f>
        <v/>
      </c>
      <c r="E10" s="1" t="str">
        <f>IF('Skill Index'!Y8=6,'Skill Index'!A8,"")</f>
        <v/>
      </c>
      <c r="F10" s="1" t="str">
        <f>IF('Skill Index'!Y8&lt;6,'Skill Index'!A8,"")</f>
        <v>Jeet Doshi</v>
      </c>
    </row>
    <row r="11" spans="1:6" x14ac:dyDescent="0.35">
      <c r="A11" s="1" t="str">
        <f>IF('Skill Index'!Y9=10,'Skill Index'!A9,"")</f>
        <v/>
      </c>
      <c r="B11" s="1" t="str">
        <f>IF('Skill Index'!Y9=9,'Skill Index'!A9,"")</f>
        <v/>
      </c>
      <c r="C11" s="1" t="str">
        <f>IF('Skill Index'!Y9=8,'Skill Index'!A9,"")</f>
        <v/>
      </c>
      <c r="D11" s="1" t="str">
        <f>IF('Skill Index'!Y9=7,'Skill Index'!A9,"")</f>
        <v/>
      </c>
      <c r="E11" s="1" t="str">
        <f>IF('Skill Index'!Y9=6,'Skill Index'!A9,"")</f>
        <v/>
      </c>
      <c r="F11" s="1" t="str">
        <f>IF('Skill Index'!Y9&lt;6,'Skill Index'!A9,"")</f>
        <v>Mahesh Kumar</v>
      </c>
    </row>
    <row r="12" spans="1:6" x14ac:dyDescent="0.35">
      <c r="A12" s="1" t="str">
        <f>IF('Skill Index'!Y10=10,'Skill Index'!A10,"")</f>
        <v/>
      </c>
      <c r="B12" s="1" t="str">
        <f>IF('Skill Index'!Y10=9,'Skill Index'!A10,"")</f>
        <v/>
      </c>
      <c r="C12" s="1" t="str">
        <f>IF('Skill Index'!Y10=8,'Skill Index'!A10,"")</f>
        <v/>
      </c>
      <c r="D12" s="1" t="str">
        <f>IF('Skill Index'!Y10=7,'Skill Index'!A10,"")</f>
        <v/>
      </c>
      <c r="E12" s="1" t="str">
        <f>IF('Skill Index'!Y10=6,'Skill Index'!A10,"")</f>
        <v/>
      </c>
      <c r="F12" s="1" t="str">
        <f>IF('Skill Index'!Y10&lt;6,'Skill Index'!A10,"")</f>
        <v>Nilekha Repaka</v>
      </c>
    </row>
    <row r="13" spans="1:6" x14ac:dyDescent="0.35">
      <c r="A13" s="1" t="str">
        <f>IF('Skill Index'!Y11=10,'Skill Index'!A11,"")</f>
        <v/>
      </c>
      <c r="B13" s="1" t="str">
        <f>IF('Skill Index'!Y11=9,'Skill Index'!A11,"")</f>
        <v/>
      </c>
      <c r="C13" s="1" t="str">
        <f>IF('Skill Index'!Y11=8,'Skill Index'!A11,"")</f>
        <v/>
      </c>
      <c r="D13" s="1" t="str">
        <f>IF('Skill Index'!Y11=7,'Skill Index'!A11,"")</f>
        <v/>
      </c>
      <c r="E13" s="1" t="str">
        <f>IF('Skill Index'!Y11=6,'Skill Index'!A11,"")</f>
        <v/>
      </c>
      <c r="F13" s="1" t="str">
        <f>IF('Skill Index'!Y11&lt;6,'Skill Index'!A11,"")</f>
        <v>Pawan Rathore</v>
      </c>
    </row>
    <row r="14" spans="1:6" x14ac:dyDescent="0.35">
      <c r="A14" s="1" t="str">
        <f>IF('Skill Index'!Y12=10,'Skill Index'!A12,"")</f>
        <v/>
      </c>
      <c r="B14" s="1" t="str">
        <f>IF('Skill Index'!Y12=9,'Skill Index'!A12,"")</f>
        <v/>
      </c>
      <c r="C14" s="1" t="str">
        <f>IF('Skill Index'!Y12=8,'Skill Index'!A12,"")</f>
        <v/>
      </c>
      <c r="D14" s="1" t="str">
        <f>IF('Skill Index'!Y12=7,'Skill Index'!A12,"")</f>
        <v/>
      </c>
      <c r="E14" s="1" t="str">
        <f>IF('Skill Index'!Y12=6,'Skill Index'!A12,"")</f>
        <v/>
      </c>
      <c r="F14" s="1" t="str">
        <f>IF('Skill Index'!Y12&lt;6,'Skill Index'!A12,"")</f>
        <v>Priyesh Tiwari</v>
      </c>
    </row>
    <row r="15" spans="1:6" x14ac:dyDescent="0.35">
      <c r="A15" s="1" t="str">
        <f>IF('Skill Index'!Y13=10,'Skill Index'!A13,"")</f>
        <v/>
      </c>
      <c r="B15" s="1" t="str">
        <f>IF('Skill Index'!Y13=9,'Skill Index'!A13,"")</f>
        <v/>
      </c>
      <c r="C15" s="1" t="str">
        <f>IF('Skill Index'!Y13=8,'Skill Index'!A13,"")</f>
        <v/>
      </c>
      <c r="D15" s="1" t="str">
        <f>IF('Skill Index'!Y13=7,'Skill Index'!A13,"")</f>
        <v/>
      </c>
      <c r="E15" s="1" t="str">
        <f>IF('Skill Index'!Y13=6,'Skill Index'!A13,"")</f>
        <v>Rahul Kumar</v>
      </c>
      <c r="F15" s="1" t="str">
        <f>IF('Skill Index'!Y13&lt;6,'Skill Index'!A13,"")</f>
        <v/>
      </c>
    </row>
    <row r="16" spans="1:6" x14ac:dyDescent="0.35">
      <c r="A16" s="1" t="str">
        <f>IF('Skill Index'!Y14=10,'Skill Index'!A14,"")</f>
        <v/>
      </c>
      <c r="B16" s="1" t="str">
        <f>IF('Skill Index'!Y14=9,'Skill Index'!A14,"")</f>
        <v/>
      </c>
      <c r="C16" s="1" t="str">
        <f>IF('Skill Index'!Y14=8,'Skill Index'!A14,"")</f>
        <v/>
      </c>
      <c r="D16" s="1" t="str">
        <f>IF('Skill Index'!Y14=7,'Skill Index'!A14,"")</f>
        <v>Ramkrishna Kadiya</v>
      </c>
      <c r="E16" s="1" t="str">
        <f>IF('Skill Index'!Y14=6,'Skill Index'!A14,"")</f>
        <v/>
      </c>
      <c r="F16" s="1" t="str">
        <f>IF('Skill Index'!Y14&lt;6,'Skill Index'!A14,"")</f>
        <v/>
      </c>
    </row>
    <row r="17" spans="1:6" x14ac:dyDescent="0.35">
      <c r="A17" s="1" t="str">
        <f>IF('Skill Index'!Y15=10,'Skill Index'!A15,"")</f>
        <v/>
      </c>
      <c r="B17" s="1" t="str">
        <f>IF('Skill Index'!Y15=9,'Skill Index'!A15,"")</f>
        <v/>
      </c>
      <c r="C17" s="1" t="str">
        <f>IF('Skill Index'!Y15=8,'Skill Index'!A15,"")</f>
        <v/>
      </c>
      <c r="D17" s="1" t="str">
        <f>IF('Skill Index'!Y15=7,'Skill Index'!A15,"")</f>
        <v>Revanth Anguluri</v>
      </c>
      <c r="E17" s="1" t="str">
        <f>IF('Skill Index'!Y15=6,'Skill Index'!A15,"")</f>
        <v/>
      </c>
      <c r="F17" s="1" t="str">
        <f>IF('Skill Index'!Y15&lt;6,'Skill Index'!A15,"")</f>
        <v/>
      </c>
    </row>
    <row r="18" spans="1:6" x14ac:dyDescent="0.35">
      <c r="A18" s="1" t="str">
        <f>IF('Skill Index'!Y16=10,'Skill Index'!A16,"")</f>
        <v/>
      </c>
      <c r="B18" s="1" t="str">
        <f>IF('Skill Index'!Y16=9,'Skill Index'!A16,"")</f>
        <v/>
      </c>
      <c r="C18" s="1" t="str">
        <f>IF('Skill Index'!Y16=8,'Skill Index'!A16,"")</f>
        <v/>
      </c>
      <c r="D18" s="1" t="str">
        <f>IF('Skill Index'!Y16=7,'Skill Index'!A16,"")</f>
        <v/>
      </c>
      <c r="E18" s="1" t="str">
        <f>IF('Skill Index'!Y16=6,'Skill Index'!A16,"")</f>
        <v>Sagar Sable</v>
      </c>
      <c r="F18" s="1" t="str">
        <f>IF('Skill Index'!Y16&lt;6,'Skill Index'!A16,"")</f>
        <v/>
      </c>
    </row>
    <row r="19" spans="1:6" x14ac:dyDescent="0.35">
      <c r="A19" s="1" t="str">
        <f>IF('Skill Index'!Y17=10,'Skill Index'!A17,"")</f>
        <v/>
      </c>
      <c r="B19" s="1" t="str">
        <f>IF('Skill Index'!Y17=9,'Skill Index'!A17,"")</f>
        <v/>
      </c>
      <c r="C19" s="1" t="str">
        <f>IF('Skill Index'!Y17=8,'Skill Index'!A17,"")</f>
        <v/>
      </c>
      <c r="D19" s="1" t="str">
        <f>IF('Skill Index'!Y17=7,'Skill Index'!A17,"")</f>
        <v/>
      </c>
      <c r="E19" s="1" t="str">
        <f>IF('Skill Index'!Y17=6,'Skill Index'!A17,"")</f>
        <v>Shreya Ramprakash</v>
      </c>
      <c r="F19" s="1" t="str">
        <f>IF('Skill Index'!Y17&lt;6,'Skill Index'!A17,"")</f>
        <v/>
      </c>
    </row>
    <row r="20" spans="1:6" x14ac:dyDescent="0.35">
      <c r="A20" s="1" t="str">
        <f>IF('Skill Index'!Y18=10,'Skill Index'!A18,"")</f>
        <v/>
      </c>
      <c r="B20" s="1" t="str">
        <f>IF('Skill Index'!Y18=9,'Skill Index'!A18,"")</f>
        <v/>
      </c>
      <c r="C20" s="1" t="str">
        <f>IF('Skill Index'!Y18=8,'Skill Index'!A18,"")</f>
        <v/>
      </c>
      <c r="D20" s="1" t="str">
        <f>IF('Skill Index'!Y18=7,'Skill Index'!A18,"")</f>
        <v>Shreyas Risodkar</v>
      </c>
      <c r="E20" s="1" t="str">
        <f>IF('Skill Index'!Y18=6,'Skill Index'!A18,"")</f>
        <v/>
      </c>
      <c r="F20" s="1" t="str">
        <f>IF('Skill Index'!Y18&lt;6,'Skill Index'!A18,"")</f>
        <v/>
      </c>
    </row>
    <row r="21" spans="1:6" x14ac:dyDescent="0.35">
      <c r="A21" s="1" t="str">
        <f>IF('Skill Index'!Y19=10,'Skill Index'!A19,"")</f>
        <v/>
      </c>
      <c r="B21" s="1" t="str">
        <f>IF('Skill Index'!Y19=9,'Skill Index'!A19,"")</f>
        <v/>
      </c>
      <c r="C21" s="1" t="str">
        <f>IF('Skill Index'!Y19=8,'Skill Index'!A19,"")</f>
        <v/>
      </c>
      <c r="D21" s="1" t="str">
        <f>IF('Skill Index'!Y19=7,'Skill Index'!A19,"")</f>
        <v>Srikirti Raj</v>
      </c>
      <c r="E21" s="1" t="str">
        <f>IF('Skill Index'!Y19=6,'Skill Index'!A19,"")</f>
        <v/>
      </c>
      <c r="F21" s="1" t="str">
        <f>IF('Skill Index'!Y19&lt;6,'Skill Index'!A19,"")</f>
        <v/>
      </c>
    </row>
    <row r="22" spans="1:6" x14ac:dyDescent="0.35">
      <c r="A22" s="1" t="str">
        <f>IF('Skill Index'!Y20=10,'Skill Index'!A20,"")</f>
        <v/>
      </c>
      <c r="B22" s="1" t="str">
        <f>IF('Skill Index'!Y20=9,'Skill Index'!A20,"")</f>
        <v/>
      </c>
      <c r="C22" s="1" t="str">
        <f>IF('Skill Index'!Y20=8,'Skill Index'!A20,"")</f>
        <v/>
      </c>
      <c r="D22" s="1" t="str">
        <f>IF('Skill Index'!Y20=7,'Skill Index'!A20,"")</f>
        <v/>
      </c>
      <c r="E22" s="1" t="str">
        <f>IF('Skill Index'!Y20=6,'Skill Index'!A20,"")</f>
        <v/>
      </c>
      <c r="F22" s="1" t="str">
        <f>IF('Skill Index'!Y20&lt;6,'Skill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53CA-8F00-493F-BD8F-0CF885DF0037}">
  <sheetPr codeName="Sheet26"/>
  <dimension ref="A1:F22"/>
  <sheetViews>
    <sheetView workbookViewId="0">
      <selection activeCell="D7" sqref="D7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258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Index'!Z4=10,'Skill Index'!A4,"")</f>
        <v/>
      </c>
      <c r="B6" s="1" t="str">
        <f>IF('Skill Index'!Z4=9,'Skill Index'!A4,"")</f>
        <v/>
      </c>
      <c r="C6" s="1" t="str">
        <f>IF('Skill Index'!Z4=8,'Skill Index'!A4,"")</f>
        <v/>
      </c>
      <c r="D6" s="1" t="str">
        <f>IF('Skill Index'!Z4=7,'Skill Index'!A4,"")</f>
        <v/>
      </c>
      <c r="E6" s="1" t="str">
        <f>IF('Skill Index'!Z4=6,'Skill Index'!A4,"")</f>
        <v/>
      </c>
      <c r="F6" s="1" t="str">
        <f>IF('Skill Index'!Z4&lt;6,'Skill Index'!A4,"")</f>
        <v>Ankit Rajput</v>
      </c>
    </row>
    <row r="7" spans="1:6" x14ac:dyDescent="0.35">
      <c r="A7" s="1" t="str">
        <f>IF('Skill Index'!Z5=10,'Skill Index'!A5,"")</f>
        <v/>
      </c>
      <c r="B7" s="1" t="str">
        <f>IF('Skill Index'!Z5=9,'Skill Index'!A5,"")</f>
        <v/>
      </c>
      <c r="C7" s="1" t="str">
        <f>IF('Skill Index'!Z5=8,'Skill Index'!A5,"")</f>
        <v/>
      </c>
      <c r="D7" s="1" t="str">
        <f>IF('Skill Index'!Z5=7,'Skill Index'!A5,"")</f>
        <v/>
      </c>
      <c r="E7" s="1" t="str">
        <f>IF('Skill Index'!Z5=6,'Skill Index'!A5,"")</f>
        <v/>
      </c>
      <c r="F7" s="1" t="str">
        <f>IF('Skill Index'!Z5&lt;6,'Skill Index'!A5,"")</f>
        <v>Anusha Gunda</v>
      </c>
    </row>
    <row r="8" spans="1:6" x14ac:dyDescent="0.35">
      <c r="A8" s="1" t="str">
        <f>IF('Skill Index'!Z6=10,'Skill Index'!A6,"")</f>
        <v/>
      </c>
      <c r="B8" s="1" t="str">
        <f>IF('Skill Index'!Z6=9,'Skill Index'!A6,"")</f>
        <v/>
      </c>
      <c r="C8" s="1" t="str">
        <f>IF('Skill Index'!Z6=8,'Skill Index'!A6,"")</f>
        <v/>
      </c>
      <c r="D8" s="1" t="str">
        <f>IF('Skill Index'!Z6=7,'Skill Index'!A6,"")</f>
        <v/>
      </c>
      <c r="E8" s="1" t="str">
        <f>IF('Skill Index'!Z6=6,'Skill Index'!A6,"")</f>
        <v/>
      </c>
      <c r="F8" s="1" t="str">
        <f>IF('Skill Index'!Z6&lt;6,'Skill Index'!A6,"")</f>
        <v>Arun Kumar</v>
      </c>
    </row>
    <row r="9" spans="1:6" x14ac:dyDescent="0.35">
      <c r="A9" s="1" t="str">
        <f>IF('Skill Index'!Z7=10,'Skill Index'!A7,"")</f>
        <v/>
      </c>
      <c r="B9" s="1" t="str">
        <f>IF('Skill Index'!Z7=9,'Skill Index'!A7,"")</f>
        <v/>
      </c>
      <c r="C9" s="1" t="str">
        <f>IF('Skill Index'!Z7=8,'Skill Index'!A7,"")</f>
        <v>Ashraya H D</v>
      </c>
      <c r="D9" s="1" t="str">
        <f>IF('Skill Index'!Z7=7,'Skill Index'!A7,"")</f>
        <v/>
      </c>
      <c r="E9" s="1" t="str">
        <f>IF('Skill Index'!Z7=6,'Skill Index'!A7,"")</f>
        <v/>
      </c>
      <c r="F9" s="1" t="str">
        <f>IF('Skill Index'!Z7&lt;6,'Skill Index'!A7,"")</f>
        <v/>
      </c>
    </row>
    <row r="10" spans="1:6" x14ac:dyDescent="0.35">
      <c r="A10" s="1" t="str">
        <f>IF('Skill Index'!Z8=10,'Skill Index'!A8,"")</f>
        <v/>
      </c>
      <c r="B10" s="1" t="str">
        <f>IF('Skill Index'!Z8=9,'Skill Index'!A8,"")</f>
        <v/>
      </c>
      <c r="C10" s="1" t="str">
        <f>IF('Skill Index'!Z8=8,'Skill Index'!A8,"")</f>
        <v/>
      </c>
      <c r="D10" s="1" t="str">
        <f>IF('Skill Index'!Z8=7,'Skill Index'!A8,"")</f>
        <v/>
      </c>
      <c r="E10" s="1" t="str">
        <f>IF('Skill Index'!Z8=6,'Skill Index'!A8,"")</f>
        <v/>
      </c>
      <c r="F10" s="1" t="str">
        <f>IF('Skill Index'!Z8&lt;6,'Skill Index'!A8,"")</f>
        <v>Jeet Doshi</v>
      </c>
    </row>
    <row r="11" spans="1:6" x14ac:dyDescent="0.35">
      <c r="A11" s="1" t="str">
        <f>IF('Skill Index'!Z9=10,'Skill Index'!A9,"")</f>
        <v/>
      </c>
      <c r="B11" s="1" t="str">
        <f>IF('Skill Index'!Z9=9,'Skill Index'!A9,"")</f>
        <v/>
      </c>
      <c r="C11" s="1" t="str">
        <f>IF('Skill Index'!Z9=8,'Skill Index'!A9,"")</f>
        <v/>
      </c>
      <c r="D11" s="1" t="str">
        <f>IF('Skill Index'!Z9=7,'Skill Index'!A9,"")</f>
        <v/>
      </c>
      <c r="E11" s="1" t="str">
        <f>IF('Skill Index'!Z9=6,'Skill Index'!A9,"")</f>
        <v/>
      </c>
      <c r="F11" s="1" t="str">
        <f>IF('Skill Index'!Z9&lt;6,'Skill Index'!A9,"")</f>
        <v>Mahesh Kumar</v>
      </c>
    </row>
    <row r="12" spans="1:6" x14ac:dyDescent="0.35">
      <c r="A12" s="1" t="str">
        <f>IF('Skill Index'!Z10=10,'Skill Index'!A10,"")</f>
        <v/>
      </c>
      <c r="B12" s="1" t="str">
        <f>IF('Skill Index'!Z10=9,'Skill Index'!A10,"")</f>
        <v/>
      </c>
      <c r="C12" s="1" t="str">
        <f>IF('Skill Index'!Z10=8,'Skill Index'!A10,"")</f>
        <v/>
      </c>
      <c r="D12" s="1" t="str">
        <f>IF('Skill Index'!Z10=7,'Skill Index'!A10,"")</f>
        <v/>
      </c>
      <c r="E12" s="1" t="str">
        <f>IF('Skill Index'!Z10=6,'Skill Index'!A10,"")</f>
        <v/>
      </c>
      <c r="F12" s="1" t="str">
        <f>IF('Skill Index'!Z10&lt;6,'Skill Index'!A10,"")</f>
        <v>Nilekha Repaka</v>
      </c>
    </row>
    <row r="13" spans="1:6" x14ac:dyDescent="0.35">
      <c r="A13" s="1" t="str">
        <f>IF('Skill Index'!Z11=10,'Skill Index'!A11,"")</f>
        <v/>
      </c>
      <c r="B13" s="1" t="str">
        <f>IF('Skill Index'!Z11=9,'Skill Index'!A11,"")</f>
        <v/>
      </c>
      <c r="C13" s="1" t="str">
        <f>IF('Skill Index'!Z11=8,'Skill Index'!A11,"")</f>
        <v/>
      </c>
      <c r="D13" s="1" t="str">
        <f>IF('Skill Index'!Z11=7,'Skill Index'!A11,"")</f>
        <v/>
      </c>
      <c r="E13" s="1" t="str">
        <f>IF('Skill Index'!Z11=6,'Skill Index'!A11,"")</f>
        <v/>
      </c>
      <c r="F13" s="1" t="str">
        <f>IF('Skill Index'!Z11&lt;6,'Skill Index'!A11,"")</f>
        <v>Pawan Rathore</v>
      </c>
    </row>
    <row r="14" spans="1:6" x14ac:dyDescent="0.35">
      <c r="A14" s="1" t="str">
        <f>IF('Skill Index'!Z12=10,'Skill Index'!A12,"")</f>
        <v/>
      </c>
      <c r="B14" s="1" t="str">
        <f>IF('Skill Index'!Z12=9,'Skill Index'!A12,"")</f>
        <v/>
      </c>
      <c r="C14" s="1" t="str">
        <f>IF('Skill Index'!Z12=8,'Skill Index'!A12,"")</f>
        <v/>
      </c>
      <c r="D14" s="1" t="str">
        <f>IF('Skill Index'!Z12=7,'Skill Index'!A12,"")</f>
        <v/>
      </c>
      <c r="E14" s="1" t="str">
        <f>IF('Skill Index'!Z12=6,'Skill Index'!A12,"")</f>
        <v/>
      </c>
      <c r="F14" s="1" t="str">
        <f>IF('Skill Index'!Z12&lt;6,'Skill Index'!A12,"")</f>
        <v>Priyesh Tiwari</v>
      </c>
    </row>
    <row r="15" spans="1:6" x14ac:dyDescent="0.35">
      <c r="A15" s="1" t="str">
        <f>IF('Skill Index'!Z13=10,'Skill Index'!A13,"")</f>
        <v/>
      </c>
      <c r="B15" s="1" t="str">
        <f>IF('Skill Index'!Z13=9,'Skill Index'!A13,"")</f>
        <v/>
      </c>
      <c r="C15" s="1" t="str">
        <f>IF('Skill Index'!Z13=8,'Skill Index'!A13,"")</f>
        <v>Rahul Kumar</v>
      </c>
      <c r="D15" s="1" t="str">
        <f>IF('Skill Index'!Z13=7,'Skill Index'!A13,"")</f>
        <v/>
      </c>
      <c r="E15" s="1" t="str">
        <f>IF('Skill Index'!Z13=6,'Skill Index'!A13,"")</f>
        <v/>
      </c>
      <c r="F15" s="1" t="str">
        <f>IF('Skill Index'!Z13&lt;6,'Skill Index'!A13,"")</f>
        <v/>
      </c>
    </row>
    <row r="16" spans="1:6" x14ac:dyDescent="0.35">
      <c r="A16" s="1" t="str">
        <f>IF('Skill Index'!Z14=10,'Skill Index'!A14,"")</f>
        <v/>
      </c>
      <c r="B16" s="1" t="str">
        <f>IF('Skill Index'!Z14=9,'Skill Index'!A14,"")</f>
        <v/>
      </c>
      <c r="C16" s="1" t="str">
        <f>IF('Skill Index'!Z14=8,'Skill Index'!A14,"")</f>
        <v/>
      </c>
      <c r="D16" s="1" t="str">
        <f>IF('Skill Index'!Z14=7,'Skill Index'!A14,"")</f>
        <v>Ramkrishna Kadiya</v>
      </c>
      <c r="E16" s="1" t="str">
        <f>IF('Skill Index'!Z14=6,'Skill Index'!A14,"")</f>
        <v/>
      </c>
      <c r="F16" s="1" t="str">
        <f>IF('Skill Index'!Z14&lt;6,'Skill Index'!A14,"")</f>
        <v/>
      </c>
    </row>
    <row r="17" spans="1:6" x14ac:dyDescent="0.35">
      <c r="A17" s="1" t="str">
        <f>IF('Skill Index'!Z15=10,'Skill Index'!A15,"")</f>
        <v/>
      </c>
      <c r="B17" s="1" t="str">
        <f>IF('Skill Index'!Z15=9,'Skill Index'!A15,"")</f>
        <v/>
      </c>
      <c r="C17" s="1" t="str">
        <f>IF('Skill Index'!Z15=8,'Skill Index'!A15,"")</f>
        <v>Revanth Anguluri</v>
      </c>
      <c r="D17" s="1" t="str">
        <f>IF('Skill Index'!Z15=7,'Skill Index'!A15,"")</f>
        <v/>
      </c>
      <c r="E17" s="1" t="str">
        <f>IF('Skill Index'!Z15=6,'Skill Index'!A15,"")</f>
        <v/>
      </c>
      <c r="F17" s="1" t="str">
        <f>IF('Skill Index'!Z15&lt;6,'Skill Index'!A15,"")</f>
        <v/>
      </c>
    </row>
    <row r="18" spans="1:6" x14ac:dyDescent="0.35">
      <c r="A18" s="1" t="str">
        <f>IF('Skill Index'!Z16=10,'Skill Index'!A16,"")</f>
        <v/>
      </c>
      <c r="B18" s="1" t="str">
        <f>IF('Skill Index'!Z16=9,'Skill Index'!A16,"")</f>
        <v/>
      </c>
      <c r="C18" s="1" t="str">
        <f>IF('Skill Index'!Z16=8,'Skill Index'!A16,"")</f>
        <v/>
      </c>
      <c r="D18" s="1" t="str">
        <f>IF('Skill Index'!Z16=7,'Skill Index'!A16,"")</f>
        <v/>
      </c>
      <c r="E18" s="1" t="str">
        <f>IF('Skill Index'!Z16=6,'Skill Index'!A16,"")</f>
        <v>Sagar Sable</v>
      </c>
      <c r="F18" s="1" t="str">
        <f>IF('Skill Index'!Z16&lt;6,'Skill Index'!A16,"")</f>
        <v/>
      </c>
    </row>
    <row r="19" spans="1:6" x14ac:dyDescent="0.35">
      <c r="A19" s="1" t="str">
        <f>IF('Skill Index'!Z17=10,'Skill Index'!A17,"")</f>
        <v/>
      </c>
      <c r="B19" s="1" t="str">
        <f>IF('Skill Index'!Z17=9,'Skill Index'!A17,"")</f>
        <v/>
      </c>
      <c r="C19" s="1" t="str">
        <f>IF('Skill Index'!Z17=8,'Skill Index'!A17,"")</f>
        <v/>
      </c>
      <c r="D19" s="1" t="str">
        <f>IF('Skill Index'!Z17=7,'Skill Index'!A17,"")</f>
        <v/>
      </c>
      <c r="E19" s="1" t="str">
        <f>IF('Skill Index'!Z17=6,'Skill Index'!A17,"")</f>
        <v>Shreya Ramprakash</v>
      </c>
      <c r="F19" s="1" t="str">
        <f>IF('Skill Index'!Z17&lt;6,'Skill Index'!A17,"")</f>
        <v/>
      </c>
    </row>
    <row r="20" spans="1:6" x14ac:dyDescent="0.35">
      <c r="A20" s="1" t="str">
        <f>IF('Skill Index'!Z18=10,'Skill Index'!A18,"")</f>
        <v/>
      </c>
      <c r="B20" s="1" t="str">
        <f>IF('Skill Index'!Z18=9,'Skill Index'!A18,"")</f>
        <v/>
      </c>
      <c r="C20" s="1" t="str">
        <f>IF('Skill Index'!Z18=8,'Skill Index'!A18,"")</f>
        <v/>
      </c>
      <c r="D20" s="1" t="str">
        <f>IF('Skill Index'!Z18=7,'Skill Index'!A18,"")</f>
        <v/>
      </c>
      <c r="E20" s="1" t="str">
        <f>IF('Skill Index'!Z18=6,'Skill Index'!A18,"")</f>
        <v/>
      </c>
      <c r="F20" s="1" t="str">
        <f>IF('Skill Index'!Z18&lt;6,'Skill Index'!A18,"")</f>
        <v>Shreyas Risodkar</v>
      </c>
    </row>
    <row r="21" spans="1:6" x14ac:dyDescent="0.35">
      <c r="A21" s="1" t="str">
        <f>IF('Skill Index'!Z19=10,'Skill Index'!A19,"")</f>
        <v/>
      </c>
      <c r="B21" s="1" t="str">
        <f>IF('Skill Index'!Z19=9,'Skill Index'!A19,"")</f>
        <v/>
      </c>
      <c r="C21" s="1" t="str">
        <f>IF('Skill Index'!Z19=8,'Skill Index'!A19,"")</f>
        <v/>
      </c>
      <c r="D21" s="1" t="str">
        <f>IF('Skill Index'!Z19=7,'Skill Index'!A19,"")</f>
        <v>Srikirti Raj</v>
      </c>
      <c r="E21" s="1" t="str">
        <f>IF('Skill Index'!Z19=6,'Skill Index'!A19,"")</f>
        <v/>
      </c>
      <c r="F21" s="1" t="str">
        <f>IF('Skill Index'!Z19&lt;6,'Skill Index'!A19,"")</f>
        <v/>
      </c>
    </row>
    <row r="22" spans="1:6" x14ac:dyDescent="0.35">
      <c r="A22" s="1" t="str">
        <f>IF('Skill Index'!Z20=10,'Skill Index'!A20,"")</f>
        <v/>
      </c>
      <c r="B22" s="1" t="str">
        <f>IF('Skill Index'!Z20=9,'Skill Index'!A20,"")</f>
        <v/>
      </c>
      <c r="C22" s="1" t="str">
        <f>IF('Skill Index'!Z20=8,'Skill Index'!A20,"")</f>
        <v/>
      </c>
      <c r="D22" s="1" t="str">
        <f>IF('Skill Index'!Z20=7,'Skill Index'!A20,"")</f>
        <v/>
      </c>
      <c r="E22" s="1" t="str">
        <f>IF('Skill Index'!Z20=6,'Skill Index'!A20,"")</f>
        <v/>
      </c>
      <c r="F22" s="1" t="str">
        <f>IF('Skill Index'!Z20&lt;6,'Skill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7621-A71B-4866-94B1-E09FC1339883}">
  <sheetPr codeName="Sheet27"/>
  <dimension ref="A1:F22"/>
  <sheetViews>
    <sheetView workbookViewId="0">
      <selection activeCell="G7" sqref="G7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259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Index'!AA4=10,'Skill Index'!A4,"")</f>
        <v/>
      </c>
      <c r="B6" s="1" t="str">
        <f>IF('Skill Index'!AA4=9,'Skill Index'!A4,"")</f>
        <v/>
      </c>
      <c r="C6" s="1" t="str">
        <f>IF('Skill Index'!AA4=8,'Skill Index'!A4,"")</f>
        <v/>
      </c>
      <c r="D6" s="1" t="str">
        <f>IF('Skill Index'!AA4=7,'Skill Index'!A4,"")</f>
        <v/>
      </c>
      <c r="E6" s="1" t="str">
        <f>IF('Skill Index'!AA4=6,'Skill Index'!A4,"")</f>
        <v/>
      </c>
      <c r="F6" s="1" t="str">
        <f>IF('Skill Index'!AA4&lt;6,'Skill Index'!A4,"")</f>
        <v>Ankit Rajput</v>
      </c>
    </row>
    <row r="7" spans="1:6" x14ac:dyDescent="0.35">
      <c r="A7" s="1" t="str">
        <f>IF('Skill Index'!AA5=10,'Skill Index'!A5,"")</f>
        <v/>
      </c>
      <c r="B7" s="1" t="str">
        <f>IF('Skill Index'!AA5=9,'Skill Index'!A5,"")</f>
        <v/>
      </c>
      <c r="C7" s="1" t="str">
        <f>IF('Skill Index'!AA5=8,'Skill Index'!A5,"")</f>
        <v/>
      </c>
      <c r="D7" s="1" t="str">
        <f>IF('Skill Index'!AA5=7,'Skill Index'!A5,"")</f>
        <v/>
      </c>
      <c r="E7" s="1" t="str">
        <f>IF('Skill Index'!AA5=6,'Skill Index'!A5,"")</f>
        <v>Anusha Gunda</v>
      </c>
      <c r="F7" s="1" t="str">
        <f>IF('Skill Index'!AA5&lt;6,'Skill Index'!A5,"")</f>
        <v/>
      </c>
    </row>
    <row r="8" spans="1:6" x14ac:dyDescent="0.35">
      <c r="A8" s="1" t="str">
        <f>IF('Skill Index'!AA6=10,'Skill Index'!A6,"")</f>
        <v/>
      </c>
      <c r="B8" s="1" t="str">
        <f>IF('Skill Index'!AA6=9,'Skill Index'!A6,"")</f>
        <v/>
      </c>
      <c r="C8" s="1" t="str">
        <f>IF('Skill Index'!AA6=8,'Skill Index'!A6,"")</f>
        <v/>
      </c>
      <c r="D8" s="1" t="str">
        <f>IF('Skill Index'!AA6=7,'Skill Index'!A6,"")</f>
        <v/>
      </c>
      <c r="E8" s="1" t="str">
        <f>IF('Skill Index'!AA6=6,'Skill Index'!A6,"")</f>
        <v/>
      </c>
      <c r="F8" s="1" t="str">
        <f>IF('Skill Index'!AA6&lt;6,'Skill Index'!A6,"")</f>
        <v>Arun Kumar</v>
      </c>
    </row>
    <row r="9" spans="1:6" x14ac:dyDescent="0.35">
      <c r="A9" s="1" t="str">
        <f>IF('Skill Index'!AA7=10,'Skill Index'!A7,"")</f>
        <v/>
      </c>
      <c r="B9" s="1" t="str">
        <f>IF('Skill Index'!AA7=9,'Skill Index'!A7,"")</f>
        <v/>
      </c>
      <c r="C9" s="1" t="str">
        <f>IF('Skill Index'!AA7=8,'Skill Index'!A7,"")</f>
        <v/>
      </c>
      <c r="D9" s="1" t="str">
        <f>IF('Skill Index'!AA7=7,'Skill Index'!A7,"")</f>
        <v/>
      </c>
      <c r="E9" s="1" t="str">
        <f>IF('Skill Index'!AA7=6,'Skill Index'!A7,"")</f>
        <v>Ashraya H D</v>
      </c>
      <c r="F9" s="1" t="str">
        <f>IF('Skill Index'!AA7&lt;6,'Skill Index'!A7,"")</f>
        <v/>
      </c>
    </row>
    <row r="10" spans="1:6" x14ac:dyDescent="0.35">
      <c r="A10" s="1" t="str">
        <f>IF('Skill Index'!AA8=10,'Skill Index'!A8,"")</f>
        <v/>
      </c>
      <c r="B10" s="1" t="str">
        <f>IF('Skill Index'!AA8=9,'Skill Index'!A8,"")</f>
        <v/>
      </c>
      <c r="C10" s="1" t="str">
        <f>IF('Skill Index'!AA8=8,'Skill Index'!A8,"")</f>
        <v/>
      </c>
      <c r="D10" s="1" t="str">
        <f>IF('Skill Index'!AA8=7,'Skill Index'!A8,"")</f>
        <v/>
      </c>
      <c r="E10" s="1" t="str">
        <f>IF('Skill Index'!AA8=6,'Skill Index'!A8,"")</f>
        <v/>
      </c>
      <c r="F10" s="1" t="str">
        <f>IF('Skill Index'!AA8&lt;6,'Skill Index'!A8,"")</f>
        <v>Jeet Doshi</v>
      </c>
    </row>
    <row r="11" spans="1:6" x14ac:dyDescent="0.35">
      <c r="A11" s="1" t="str">
        <f>IF('Skill Index'!AA9=10,'Skill Index'!A9,"")</f>
        <v/>
      </c>
      <c r="B11" s="1" t="str">
        <f>IF('Skill Index'!AA9=9,'Skill Index'!A9,"")</f>
        <v/>
      </c>
      <c r="C11" s="1" t="str">
        <f>IF('Skill Index'!AA9=8,'Skill Index'!A9,"")</f>
        <v/>
      </c>
      <c r="D11" s="1" t="str">
        <f>IF('Skill Index'!AA9=7,'Skill Index'!A9,"")</f>
        <v/>
      </c>
      <c r="E11" s="1" t="str">
        <f>IF('Skill Index'!AA9=6,'Skill Index'!A9,"")</f>
        <v/>
      </c>
      <c r="F11" s="1" t="str">
        <f>IF('Skill Index'!AA9&lt;6,'Skill Index'!A9,"")</f>
        <v>Mahesh Kumar</v>
      </c>
    </row>
    <row r="12" spans="1:6" x14ac:dyDescent="0.35">
      <c r="A12" s="1" t="str">
        <f>IF('Skill Index'!AA10=10,'Skill Index'!A10,"")</f>
        <v/>
      </c>
      <c r="B12" s="1" t="str">
        <f>IF('Skill Index'!AA10=9,'Skill Index'!A10,"")</f>
        <v/>
      </c>
      <c r="C12" s="1" t="str">
        <f>IF('Skill Index'!AA10=8,'Skill Index'!A10,"")</f>
        <v/>
      </c>
      <c r="D12" s="1" t="str">
        <f>IF('Skill Index'!AA10=7,'Skill Index'!A10,"")</f>
        <v/>
      </c>
      <c r="E12" s="1" t="str">
        <f>IF('Skill Index'!AA10=6,'Skill Index'!A10,"")</f>
        <v/>
      </c>
      <c r="F12" s="1" t="str">
        <f>IF('Skill Index'!AA10&lt;6,'Skill Index'!A10,"")</f>
        <v>Nilekha Repaka</v>
      </c>
    </row>
    <row r="13" spans="1:6" x14ac:dyDescent="0.35">
      <c r="A13" s="1" t="str">
        <f>IF('Skill Index'!AA11=10,'Skill Index'!A11,"")</f>
        <v/>
      </c>
      <c r="B13" s="1" t="str">
        <f>IF('Skill Index'!AA11=9,'Skill Index'!A11,"")</f>
        <v/>
      </c>
      <c r="C13" s="1" t="str">
        <f>IF('Skill Index'!AA11=8,'Skill Index'!A11,"")</f>
        <v/>
      </c>
      <c r="D13" s="1" t="str">
        <f>IF('Skill Index'!AA11=7,'Skill Index'!A11,"")</f>
        <v>Pawan Rathore</v>
      </c>
      <c r="E13" s="1" t="str">
        <f>IF('Skill Index'!AA11=6,'Skill Index'!A11,"")</f>
        <v/>
      </c>
      <c r="F13" s="1" t="str">
        <f>IF('Skill Index'!AA11&lt;6,'Skill Index'!A11,"")</f>
        <v/>
      </c>
    </row>
    <row r="14" spans="1:6" x14ac:dyDescent="0.35">
      <c r="A14" s="1" t="str">
        <f>IF('Skill Index'!AA12=10,'Skill Index'!A12,"")</f>
        <v/>
      </c>
      <c r="B14" s="1" t="str">
        <f>IF('Skill Index'!AA12=9,'Skill Index'!A12,"")</f>
        <v/>
      </c>
      <c r="C14" s="1" t="str">
        <f>IF('Skill Index'!AA12=8,'Skill Index'!A12,"")</f>
        <v/>
      </c>
      <c r="D14" s="1" t="str">
        <f>IF('Skill Index'!AA12=7,'Skill Index'!A12,"")</f>
        <v/>
      </c>
      <c r="E14" s="1" t="str">
        <f>IF('Skill Index'!AA12=6,'Skill Index'!A12,"")</f>
        <v/>
      </c>
      <c r="F14" s="1" t="str">
        <f>IF('Skill Index'!AA12&lt;6,'Skill Index'!A12,"")</f>
        <v>Priyesh Tiwari</v>
      </c>
    </row>
    <row r="15" spans="1:6" x14ac:dyDescent="0.35">
      <c r="A15" s="1" t="str">
        <f>IF('Skill Index'!AA13=10,'Skill Index'!A13,"")</f>
        <v/>
      </c>
      <c r="B15" s="1" t="str">
        <f>IF('Skill Index'!AA13=9,'Skill Index'!A13,"")</f>
        <v/>
      </c>
      <c r="C15" s="1" t="str">
        <f>IF('Skill Index'!AA13=8,'Skill Index'!A13,"")</f>
        <v>Rahul Kumar</v>
      </c>
      <c r="D15" s="1" t="str">
        <f>IF('Skill Index'!AA13=7,'Skill Index'!A13,"")</f>
        <v/>
      </c>
      <c r="E15" s="1" t="str">
        <f>IF('Skill Index'!AA13=6,'Skill Index'!A13,"")</f>
        <v/>
      </c>
      <c r="F15" s="1" t="str">
        <f>IF('Skill Index'!AA13&lt;6,'Skill Index'!A13,"")</f>
        <v/>
      </c>
    </row>
    <row r="16" spans="1:6" x14ac:dyDescent="0.35">
      <c r="A16" s="1" t="str">
        <f>IF('Skill Index'!AA14=10,'Skill Index'!A14,"")</f>
        <v/>
      </c>
      <c r="B16" s="1" t="str">
        <f>IF('Skill Index'!AA14=9,'Skill Index'!A14,"")</f>
        <v/>
      </c>
      <c r="C16" s="1" t="str">
        <f>IF('Skill Index'!AA14=8,'Skill Index'!A14,"")</f>
        <v/>
      </c>
      <c r="D16" s="1" t="str">
        <f>IF('Skill Index'!AA14=7,'Skill Index'!A14,"")</f>
        <v/>
      </c>
      <c r="E16" s="1" t="str">
        <f>IF('Skill Index'!AA14=6,'Skill Index'!A14,"")</f>
        <v/>
      </c>
      <c r="F16" s="1" t="str">
        <f>IF('Skill Index'!AA14&lt;6,'Skill Index'!A14,"")</f>
        <v>Ramkrishna Kadiya</v>
      </c>
    </row>
    <row r="17" spans="1:6" x14ac:dyDescent="0.35">
      <c r="A17" s="1" t="str">
        <f>IF('Skill Index'!AA15=10,'Skill Index'!A15,"")</f>
        <v/>
      </c>
      <c r="B17" s="1" t="str">
        <f>IF('Skill Index'!AA15=9,'Skill Index'!A15,"")</f>
        <v/>
      </c>
      <c r="C17" s="1" t="str">
        <f>IF('Skill Index'!AA15=8,'Skill Index'!A15,"")</f>
        <v>Revanth Anguluri</v>
      </c>
      <c r="D17" s="1" t="str">
        <f>IF('Skill Index'!AA15=7,'Skill Index'!A15,"")</f>
        <v/>
      </c>
      <c r="E17" s="1" t="str">
        <f>IF('Skill Index'!AA15=6,'Skill Index'!A15,"")</f>
        <v/>
      </c>
      <c r="F17" s="1" t="str">
        <f>IF('Skill Index'!AA15&lt;6,'Skill Index'!A15,"")</f>
        <v/>
      </c>
    </row>
    <row r="18" spans="1:6" x14ac:dyDescent="0.35">
      <c r="A18" s="1" t="str">
        <f>IF('Skill Index'!AA16=10,'Skill Index'!A16,"")</f>
        <v/>
      </c>
      <c r="B18" s="1" t="str">
        <f>IF('Skill Index'!AA16=9,'Skill Index'!A16,"")</f>
        <v/>
      </c>
      <c r="C18" s="1" t="str">
        <f>IF('Skill Index'!AA16=8,'Skill Index'!A16,"")</f>
        <v/>
      </c>
      <c r="D18" s="1" t="str">
        <f>IF('Skill Index'!AA16=7,'Skill Index'!A16,"")</f>
        <v/>
      </c>
      <c r="E18" s="1" t="str">
        <f>IF('Skill Index'!AA16=6,'Skill Index'!A16,"")</f>
        <v>Sagar Sable</v>
      </c>
      <c r="F18" s="1" t="str">
        <f>IF('Skill Index'!AA16&lt;6,'Skill Index'!A16,"")</f>
        <v/>
      </c>
    </row>
    <row r="19" spans="1:6" x14ac:dyDescent="0.35">
      <c r="A19" s="1" t="str">
        <f>IF('Skill Index'!AA17=10,'Skill Index'!A17,"")</f>
        <v/>
      </c>
      <c r="B19" s="1" t="str">
        <f>IF('Skill Index'!AA17=9,'Skill Index'!A17,"")</f>
        <v/>
      </c>
      <c r="C19" s="1" t="str">
        <f>IF('Skill Index'!AA17=8,'Skill Index'!A17,"")</f>
        <v/>
      </c>
      <c r="D19" s="1" t="str">
        <f>IF('Skill Index'!AA17=7,'Skill Index'!A17,"")</f>
        <v/>
      </c>
      <c r="E19" s="1" t="str">
        <f>IF('Skill Index'!AA17=6,'Skill Index'!A17,"")</f>
        <v>Shreya Ramprakash</v>
      </c>
      <c r="F19" s="1" t="str">
        <f>IF('Skill Index'!AA17&lt;6,'Skill Index'!A17,"")</f>
        <v/>
      </c>
    </row>
    <row r="20" spans="1:6" x14ac:dyDescent="0.35">
      <c r="A20" s="1" t="str">
        <f>IF('Skill Index'!AA18=10,'Skill Index'!A18,"")</f>
        <v/>
      </c>
      <c r="B20" s="1" t="str">
        <f>IF('Skill Index'!AA18=9,'Skill Index'!A18,"")</f>
        <v/>
      </c>
      <c r="C20" s="1" t="str">
        <f>IF('Skill Index'!AA18=8,'Skill Index'!A18,"")</f>
        <v/>
      </c>
      <c r="D20" s="1" t="str">
        <f>IF('Skill Index'!AA18=7,'Skill Index'!A18,"")</f>
        <v/>
      </c>
      <c r="E20" s="1" t="str">
        <f>IF('Skill Index'!AA18=6,'Skill Index'!A18,"")</f>
        <v/>
      </c>
      <c r="F20" s="1" t="str">
        <f>IF('Skill Index'!AA18&lt;6,'Skill Index'!A18,"")</f>
        <v>Shreyas Risodkar</v>
      </c>
    </row>
    <row r="21" spans="1:6" x14ac:dyDescent="0.35">
      <c r="A21" s="1" t="str">
        <f>IF('Skill Index'!AA19=10,'Skill Index'!A19,"")</f>
        <v/>
      </c>
      <c r="B21" s="1" t="str">
        <f>IF('Skill Index'!AA19=9,'Skill Index'!A19,"")</f>
        <v/>
      </c>
      <c r="C21" s="1" t="str">
        <f>IF('Skill Index'!AA19=8,'Skill Index'!A19,"")</f>
        <v/>
      </c>
      <c r="D21" s="1" t="str">
        <f>IF('Skill Index'!AA19=7,'Skill Index'!A19,"")</f>
        <v/>
      </c>
      <c r="E21" s="1" t="str">
        <f>IF('Skill Index'!AA19=6,'Skill Index'!A19,"")</f>
        <v>Srikirti Raj</v>
      </c>
      <c r="F21" s="1" t="str">
        <f>IF('Skill Index'!AA19&lt;6,'Skill Index'!A19,"")</f>
        <v/>
      </c>
    </row>
    <row r="22" spans="1:6" x14ac:dyDescent="0.35">
      <c r="A22" s="1" t="str">
        <f>IF('Skill Index'!AA20=10,'Skill Index'!A20,"")</f>
        <v/>
      </c>
      <c r="B22" s="1" t="str">
        <f>IF('Skill Index'!AA20=9,'Skill Index'!A20,"")</f>
        <v/>
      </c>
      <c r="C22" s="1" t="str">
        <f>IF('Skill Index'!AA20=8,'Skill Index'!A20,"")</f>
        <v/>
      </c>
      <c r="D22" s="1" t="str">
        <f>IF('Skill Index'!AA20=7,'Skill Index'!A20,"")</f>
        <v/>
      </c>
      <c r="E22" s="1" t="str">
        <f>IF('Skill Index'!AA20=6,'Skill Index'!A20,"")</f>
        <v/>
      </c>
      <c r="F22" s="1" t="str">
        <f>IF('Skill Index'!AA20&lt;6,'Skill Index'!A20,"")</f>
        <v>Swetha KJ</v>
      </c>
    </row>
  </sheetData>
  <mergeCells count="1">
    <mergeCell ref="A1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3F43-3849-423B-BA79-EC06FCC658C1}">
  <sheetPr codeName="Sheet28"/>
  <dimension ref="A1:F22"/>
  <sheetViews>
    <sheetView workbookViewId="0">
      <selection activeCell="D11" sqref="D11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7.453125" bestFit="1" customWidth="1"/>
    <col min="5" max="5" width="13.36328125" bestFit="1" customWidth="1"/>
    <col min="6" max="6" width="16.81640625" bestFit="1" customWidth="1"/>
  </cols>
  <sheetData>
    <row r="1" spans="1:6" x14ac:dyDescent="0.35">
      <c r="A1" s="84" t="s">
        <v>260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Index'!AB4=10,'Skill Index'!A4,"")</f>
        <v/>
      </c>
      <c r="B6" s="1" t="str">
        <f>IF('Skill Index'!AB4=9,'Skill Index'!A4,"")</f>
        <v/>
      </c>
      <c r="C6" s="1" t="str">
        <f>IF('Skill Index'!AB4=8,'Skill Index'!A4,"")</f>
        <v/>
      </c>
      <c r="D6" s="1" t="str">
        <f>IF('Skill Index'!AB4=7,'Skill Index'!A4,"")</f>
        <v/>
      </c>
      <c r="E6" s="1" t="str">
        <f>IF('Skill Index'!AB4=6,'Skill Index'!A4,"")</f>
        <v/>
      </c>
      <c r="F6" s="1" t="str">
        <f>IF('Skill Index'!AB4&lt;6,'Skill Index'!A4,"")</f>
        <v>Ankit Rajput</v>
      </c>
    </row>
    <row r="7" spans="1:6" x14ac:dyDescent="0.35">
      <c r="A7" s="1" t="str">
        <f>IF('Skill Index'!AB5=10,'Skill Index'!A5,"")</f>
        <v/>
      </c>
      <c r="B7" s="1" t="str">
        <f>IF('Skill Index'!AB5=9,'Skill Index'!A5,"")</f>
        <v/>
      </c>
      <c r="C7" s="1" t="str">
        <f>IF('Skill Index'!AB5=8,'Skill Index'!A5,"")</f>
        <v/>
      </c>
      <c r="D7" s="1" t="str">
        <f>IF('Skill Index'!AB5=7,'Skill Index'!A5,"")</f>
        <v/>
      </c>
      <c r="E7" s="1" t="str">
        <f>IF('Skill Index'!AB5=6,'Skill Index'!A5,"")</f>
        <v>Anusha Gunda</v>
      </c>
      <c r="F7" s="1" t="str">
        <f>IF('Skill Index'!AB5&lt;6,'Skill Index'!A5,"")</f>
        <v/>
      </c>
    </row>
    <row r="8" spans="1:6" x14ac:dyDescent="0.35">
      <c r="A8" s="1" t="str">
        <f>IF('Skill Index'!AB6=10,'Skill Index'!A6,"")</f>
        <v/>
      </c>
      <c r="B8" s="1" t="str">
        <f>IF('Skill Index'!AB6=9,'Skill Index'!A6,"")</f>
        <v/>
      </c>
      <c r="C8" s="1" t="str">
        <f>IF('Skill Index'!AB6=8,'Skill Index'!A6,"")</f>
        <v/>
      </c>
      <c r="D8" s="1" t="str">
        <f>IF('Skill Index'!AB6=7,'Skill Index'!A6,"")</f>
        <v/>
      </c>
      <c r="E8" s="1" t="str">
        <f>IF('Skill Index'!AB6=6,'Skill Index'!A6,"")</f>
        <v/>
      </c>
      <c r="F8" s="1" t="str">
        <f>IF('Skill Index'!AB6&lt;6,'Skill Index'!A6,"")</f>
        <v>Arun Kumar</v>
      </c>
    </row>
    <row r="9" spans="1:6" x14ac:dyDescent="0.35">
      <c r="A9" s="1" t="str">
        <f>IF('Skill Index'!AB7=10,'Skill Index'!A7,"")</f>
        <v/>
      </c>
      <c r="B9" s="1" t="str">
        <f>IF('Skill Index'!AB7=9,'Skill Index'!A7,"")</f>
        <v/>
      </c>
      <c r="C9" s="1" t="str">
        <f>IF('Skill Index'!AB7=8,'Skill Index'!A7,"")</f>
        <v>Ashraya H D</v>
      </c>
      <c r="D9" s="1" t="str">
        <f>IF('Skill Index'!AB7=7,'Skill Index'!A7,"")</f>
        <v/>
      </c>
      <c r="E9" s="1" t="str">
        <f>IF('Skill Index'!AB7=6,'Skill Index'!A7,"")</f>
        <v/>
      </c>
      <c r="F9" s="1" t="str">
        <f>IF('Skill Index'!AB7&lt;6,'Skill Index'!A7,"")</f>
        <v/>
      </c>
    </row>
    <row r="10" spans="1:6" x14ac:dyDescent="0.35">
      <c r="A10" s="1" t="str">
        <f>IF('Skill Index'!AB8=10,'Skill Index'!A8,"")</f>
        <v/>
      </c>
      <c r="B10" s="1" t="str">
        <f>IF('Skill Index'!AB8=9,'Skill Index'!A8,"")</f>
        <v/>
      </c>
      <c r="C10" s="1" t="str">
        <f>IF('Skill Index'!AB8=8,'Skill Index'!A8,"")</f>
        <v/>
      </c>
      <c r="D10" s="1" t="str">
        <f>IF('Skill Index'!AB8=7,'Skill Index'!A8,"")</f>
        <v/>
      </c>
      <c r="E10" s="1" t="str">
        <f>IF('Skill Index'!AB8=6,'Skill Index'!A8,"")</f>
        <v/>
      </c>
      <c r="F10" s="1" t="str">
        <f>IF('Skill Index'!AB8&lt;6,'Skill Index'!A8,"")</f>
        <v>Jeet Doshi</v>
      </c>
    </row>
    <row r="11" spans="1:6" x14ac:dyDescent="0.35">
      <c r="A11" s="1" t="str">
        <f>IF('Skill Index'!AB9=10,'Skill Index'!A9,"")</f>
        <v/>
      </c>
      <c r="B11" s="1" t="str">
        <f>IF('Skill Index'!AB9=9,'Skill Index'!A9,"")</f>
        <v/>
      </c>
      <c r="C11" s="1" t="str">
        <f>IF('Skill Index'!AB9=8,'Skill Index'!A9,"")</f>
        <v/>
      </c>
      <c r="D11" s="1" t="str">
        <f>IF('Skill Index'!AB9=7,'Skill Index'!A9,"")</f>
        <v/>
      </c>
      <c r="E11" s="1" t="str">
        <f>IF('Skill Index'!AB9=6,'Skill Index'!A9,"")</f>
        <v/>
      </c>
      <c r="F11" s="1" t="str">
        <f>IF('Skill Index'!AB9&lt;6,'Skill Index'!A9,"")</f>
        <v>Mahesh Kumar</v>
      </c>
    </row>
    <row r="12" spans="1:6" x14ac:dyDescent="0.35">
      <c r="A12" s="1" t="str">
        <f>IF('Skill Index'!AB10=10,'Skill Index'!A10,"")</f>
        <v/>
      </c>
      <c r="B12" s="1" t="str">
        <f>IF('Skill Index'!AB10=9,'Skill Index'!A10,"")</f>
        <v/>
      </c>
      <c r="C12" s="1" t="str">
        <f>IF('Skill Index'!AB10=8,'Skill Index'!A10,"")</f>
        <v/>
      </c>
      <c r="D12" s="1" t="str">
        <f>IF('Skill Index'!AB10=7,'Skill Index'!A10,"")</f>
        <v>Nilekha Repaka</v>
      </c>
      <c r="E12" s="1" t="str">
        <f>IF('Skill Index'!AB10=6,'Skill Index'!A10,"")</f>
        <v/>
      </c>
      <c r="F12" s="1" t="str">
        <f>IF('Skill Index'!AB10&lt;6,'Skill Index'!A10,"")</f>
        <v/>
      </c>
    </row>
    <row r="13" spans="1:6" x14ac:dyDescent="0.35">
      <c r="A13" s="1" t="str">
        <f>IF('Skill Index'!AB11=10,'Skill Index'!A11,"")</f>
        <v/>
      </c>
      <c r="B13" s="1" t="str">
        <f>IF('Skill Index'!AB11=9,'Skill Index'!A11,"")</f>
        <v/>
      </c>
      <c r="C13" s="1" t="str">
        <f>IF('Skill Index'!AB11=8,'Skill Index'!A11,"")</f>
        <v/>
      </c>
      <c r="D13" s="1" t="str">
        <f>IF('Skill Index'!AB11=7,'Skill Index'!A11,"")</f>
        <v/>
      </c>
      <c r="E13" s="1" t="str">
        <f>IF('Skill Index'!AB11=6,'Skill Index'!A11,"")</f>
        <v>Pawan Rathore</v>
      </c>
      <c r="F13" s="1" t="str">
        <f>IF('Skill Index'!AB11&lt;6,'Skill Index'!A11,"")</f>
        <v/>
      </c>
    </row>
    <row r="14" spans="1:6" x14ac:dyDescent="0.35">
      <c r="A14" s="1" t="str">
        <f>IF('Skill Index'!AB12=10,'Skill Index'!A12,"")</f>
        <v/>
      </c>
      <c r="B14" s="1" t="str">
        <f>IF('Skill Index'!AB12=9,'Skill Index'!A12,"")</f>
        <v/>
      </c>
      <c r="C14" s="1" t="str">
        <f>IF('Skill Index'!AB12=8,'Skill Index'!A12,"")</f>
        <v>Priyesh Tiwari</v>
      </c>
      <c r="D14" s="1" t="str">
        <f>IF('Skill Index'!AB12=7,'Skill Index'!A12,"")</f>
        <v/>
      </c>
      <c r="E14" s="1" t="str">
        <f>IF('Skill Index'!AB12=6,'Skill Index'!A12,"")</f>
        <v/>
      </c>
      <c r="F14" s="1" t="str">
        <f>IF('Skill Index'!AB12&lt;6,'Skill Index'!A12,"")</f>
        <v/>
      </c>
    </row>
    <row r="15" spans="1:6" x14ac:dyDescent="0.35">
      <c r="A15" s="1" t="str">
        <f>IF('Skill Index'!AB13=10,'Skill Index'!A13,"")</f>
        <v/>
      </c>
      <c r="B15" s="1" t="str">
        <f>IF('Skill Index'!AB13=9,'Skill Index'!A13,"")</f>
        <v/>
      </c>
      <c r="C15" s="1" t="str">
        <f>IF('Skill Index'!AB13=8,'Skill Index'!A13,"")</f>
        <v/>
      </c>
      <c r="D15" s="1" t="str">
        <f>IF('Skill Index'!AB13=7,'Skill Index'!A13,"")</f>
        <v/>
      </c>
      <c r="E15" s="1" t="str">
        <f>IF('Skill Index'!AB13=6,'Skill Index'!A13,"")</f>
        <v>Rahul Kumar</v>
      </c>
      <c r="F15" s="1" t="str">
        <f>IF('Skill Index'!AB13&lt;6,'Skill Index'!A13,"")</f>
        <v/>
      </c>
    </row>
    <row r="16" spans="1:6" x14ac:dyDescent="0.35">
      <c r="A16" s="1" t="str">
        <f>IF('Skill Index'!AB14=10,'Skill Index'!A14,"")</f>
        <v/>
      </c>
      <c r="B16" s="1" t="str">
        <f>IF('Skill Index'!AB14=9,'Skill Index'!A14,"")</f>
        <v/>
      </c>
      <c r="C16" s="1" t="str">
        <f>IF('Skill Index'!AB14=8,'Skill Index'!A14,"")</f>
        <v/>
      </c>
      <c r="D16" s="1" t="str">
        <f>IF('Skill Index'!AB14=7,'Skill Index'!A14,"")</f>
        <v>Ramkrishna Kadiya</v>
      </c>
      <c r="E16" s="1" t="str">
        <f>IF('Skill Index'!AB14=6,'Skill Index'!A14,"")</f>
        <v/>
      </c>
      <c r="F16" s="1" t="str">
        <f>IF('Skill Index'!AB14&lt;6,'Skill Index'!A14,"")</f>
        <v/>
      </c>
    </row>
    <row r="17" spans="1:6" x14ac:dyDescent="0.35">
      <c r="A17" s="1" t="str">
        <f>IF('Skill Index'!AB15=10,'Skill Index'!A15,"")</f>
        <v/>
      </c>
      <c r="B17" s="1" t="str">
        <f>IF('Skill Index'!AB15=9,'Skill Index'!A15,"")</f>
        <v/>
      </c>
      <c r="C17" s="1" t="str">
        <f>IF('Skill Index'!AB15=8,'Skill Index'!A15,"")</f>
        <v/>
      </c>
      <c r="D17" s="1" t="str">
        <f>IF('Skill Index'!AB15=7,'Skill Index'!A15,"")</f>
        <v/>
      </c>
      <c r="E17" s="1" t="str">
        <f>IF('Skill Index'!AB15=6,'Skill Index'!A15,"")</f>
        <v/>
      </c>
      <c r="F17" s="1" t="str">
        <f>IF('Skill Index'!AB15&lt;6,'Skill Index'!A15,"")</f>
        <v>Revanth Anguluri</v>
      </c>
    </row>
    <row r="18" spans="1:6" x14ac:dyDescent="0.35">
      <c r="A18" s="1" t="str">
        <f>IF('Skill Index'!AB16=10,'Skill Index'!A16,"")</f>
        <v/>
      </c>
      <c r="B18" s="1" t="str">
        <f>IF('Skill Index'!AB16=9,'Skill Index'!A16,"")</f>
        <v/>
      </c>
      <c r="C18" s="1" t="str">
        <f>IF('Skill Index'!AB16=8,'Skill Index'!A16,"")</f>
        <v/>
      </c>
      <c r="D18" s="1" t="str">
        <f>IF('Skill Index'!AB16=7,'Skill Index'!A16,"")</f>
        <v/>
      </c>
      <c r="E18" s="1" t="str">
        <f>IF('Skill Index'!AB16=6,'Skill Index'!A16,"")</f>
        <v>Sagar Sable</v>
      </c>
      <c r="F18" s="1" t="str">
        <f>IF('Skill Index'!AB16&lt;6,'Skill Index'!A16,"")</f>
        <v/>
      </c>
    </row>
    <row r="19" spans="1:6" x14ac:dyDescent="0.35">
      <c r="A19" s="1" t="str">
        <f>IF('Skill Index'!AB17=10,'Skill Index'!A17,"")</f>
        <v/>
      </c>
      <c r="B19" s="1" t="str">
        <f>IF('Skill Index'!AB17=9,'Skill Index'!A17,"")</f>
        <v/>
      </c>
      <c r="C19" s="1" t="str">
        <f>IF('Skill Index'!AB17=8,'Skill Index'!A17,"")</f>
        <v/>
      </c>
      <c r="D19" s="1" t="str">
        <f>IF('Skill Index'!AB17=7,'Skill Index'!A17,"")</f>
        <v/>
      </c>
      <c r="E19" s="1" t="str">
        <f>IF('Skill Index'!AB17=6,'Skill Index'!A17,"")</f>
        <v/>
      </c>
      <c r="F19" s="1" t="str">
        <f>IF('Skill Index'!AB17&lt;6,'Skill Index'!A17,"")</f>
        <v>Shreya Ramprakash</v>
      </c>
    </row>
    <row r="20" spans="1:6" x14ac:dyDescent="0.35">
      <c r="A20" s="1" t="str">
        <f>IF('Skill Index'!AB18=10,'Skill Index'!A18,"")</f>
        <v/>
      </c>
      <c r="B20" s="1" t="str">
        <f>IF('Skill Index'!AB18=9,'Skill Index'!A18,"")</f>
        <v/>
      </c>
      <c r="C20" s="1" t="str">
        <f>IF('Skill Index'!AB18=8,'Skill Index'!A18,"")</f>
        <v>Shreyas Risodkar</v>
      </c>
      <c r="D20" s="1" t="str">
        <f>IF('Skill Index'!AB18=7,'Skill Index'!A18,"")</f>
        <v/>
      </c>
      <c r="E20" s="1" t="str">
        <f>IF('Skill Index'!AB18=6,'Skill Index'!A18,"")</f>
        <v/>
      </c>
      <c r="F20" s="1" t="str">
        <f>IF('Skill Index'!AB18&lt;6,'Skill Index'!A18,"")</f>
        <v/>
      </c>
    </row>
    <row r="21" spans="1:6" x14ac:dyDescent="0.35">
      <c r="A21" s="1" t="str">
        <f>IF('Skill Index'!AB19=10,'Skill Index'!A19,"")</f>
        <v/>
      </c>
      <c r="B21" s="1" t="str">
        <f>IF('Skill Index'!AB19=9,'Skill Index'!A19,"")</f>
        <v/>
      </c>
      <c r="C21" s="1" t="str">
        <f>IF('Skill Index'!AB19=8,'Skill Index'!A19,"")</f>
        <v/>
      </c>
      <c r="D21" s="1" t="str">
        <f>IF('Skill Index'!AB19=7,'Skill Index'!A19,"")</f>
        <v>Srikirti Raj</v>
      </c>
      <c r="E21" s="1" t="str">
        <f>IF('Skill Index'!AB19=6,'Skill Index'!A19,"")</f>
        <v/>
      </c>
      <c r="F21" s="1" t="str">
        <f>IF('Skill Index'!AB19&lt;6,'Skill Index'!A19,"")</f>
        <v/>
      </c>
    </row>
    <row r="22" spans="1:6" x14ac:dyDescent="0.35">
      <c r="A22" s="1" t="str">
        <f>IF('Skill Index'!AB20=10,'Skill Index'!A20,"")</f>
        <v/>
      </c>
      <c r="B22" s="1" t="str">
        <f>IF('Skill Index'!AB20=9,'Skill Index'!A20,"")</f>
        <v/>
      </c>
      <c r="C22" s="1" t="str">
        <f>IF('Skill Index'!AB20=8,'Skill Index'!A20,"")</f>
        <v>Swetha KJ</v>
      </c>
      <c r="D22" s="1" t="str">
        <f>IF('Skill Index'!AB20=7,'Skill Index'!A20,"")</f>
        <v/>
      </c>
      <c r="E22" s="1" t="str">
        <f>IF('Skill Index'!AB20=6,'Skill Index'!A20,"")</f>
        <v/>
      </c>
      <c r="F22" s="1" t="str">
        <f>IF('Skill Index'!AB20&lt;6,'Skill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2A2F-80E8-4275-93AA-C43E13C25C22}">
  <sheetPr codeName="Sheet29"/>
  <dimension ref="A1:N22"/>
  <sheetViews>
    <sheetView workbookViewId="0">
      <selection activeCell="I11" sqref="I11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8.26953125" bestFit="1" customWidth="1"/>
    <col min="11" max="11" width="16.6328125" bestFit="1" customWidth="1"/>
    <col min="12" max="12" width="17.453125" bestFit="1" customWidth="1"/>
    <col min="13" max="13" width="13.36328125" bestFit="1" customWidth="1"/>
    <col min="14" max="14" width="16.81640625" bestFit="1" customWidth="1"/>
  </cols>
  <sheetData>
    <row r="1" spans="1:14" ht="14.5" customHeight="1" x14ac:dyDescent="0.35">
      <c r="A1" s="84" t="s">
        <v>261</v>
      </c>
      <c r="B1" s="84"/>
      <c r="C1" s="84"/>
      <c r="D1" s="84"/>
      <c r="E1" s="84"/>
      <c r="F1" s="84"/>
      <c r="I1" s="84" t="s">
        <v>272</v>
      </c>
      <c r="J1" s="84"/>
      <c r="K1" s="84"/>
      <c r="L1" s="84"/>
      <c r="M1" s="84"/>
      <c r="N1" s="84"/>
    </row>
    <row r="2" spans="1:14" ht="14.5" customHeight="1" x14ac:dyDescent="0.35">
      <c r="A2" s="84"/>
      <c r="B2" s="84"/>
      <c r="C2" s="84"/>
      <c r="D2" s="84"/>
      <c r="E2" s="84"/>
      <c r="F2" s="84"/>
      <c r="I2" s="84"/>
      <c r="J2" s="84"/>
      <c r="K2" s="84"/>
      <c r="L2" s="84"/>
      <c r="M2" s="84"/>
      <c r="N2" s="84"/>
    </row>
    <row r="5" spans="1:14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  <c r="I5" s="85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86" t="s">
        <v>286</v>
      </c>
    </row>
    <row r="6" spans="1:14" x14ac:dyDescent="0.35">
      <c r="A6" s="1" t="str">
        <f>IF('Skill Index'!AC4=10,'Skill Index'!A4,"")</f>
        <v/>
      </c>
      <c r="B6" s="1" t="str">
        <f>IF('Skill Index'!AC4=9,'Skill Index'!A4,"")</f>
        <v/>
      </c>
      <c r="C6" s="1" t="str">
        <f>IF('Skill Index'!AC4=8,'Skill Index'!A4,"")</f>
        <v/>
      </c>
      <c r="D6" s="1" t="str">
        <f>IF('Skill Index'!AC4=7,'Skill Index'!A4,"")</f>
        <v/>
      </c>
      <c r="E6" s="1" t="str">
        <f>IF('Skill Index'!AC4=6,'Skill Index'!A4,"")</f>
        <v/>
      </c>
      <c r="F6" s="1" t="str">
        <f>IF('Skill Index'!AC4&lt;6,'Skill Index'!A4,"")</f>
        <v>Ankit Rajput</v>
      </c>
      <c r="I6" s="1" t="str">
        <f>IF('Skill Index'!AD4=10,'Skill Index'!A4,"")</f>
        <v/>
      </c>
      <c r="J6" s="1" t="str">
        <f>IF('Skill Index'!AD4=9,'Skill Index'!A4,"")</f>
        <v/>
      </c>
      <c r="K6" s="1" t="str">
        <f>IF('Skill Index'!AD4=8,'Skill Index'!A4,"")</f>
        <v/>
      </c>
      <c r="L6" s="1" t="str">
        <f>IF('Skill Index'!AD4=7,'Skill Index'!A4,"")</f>
        <v/>
      </c>
      <c r="M6" s="1" t="str">
        <f>IF('Skill Index'!AD4=6,'Skill Index'!A4,"")</f>
        <v/>
      </c>
      <c r="N6" s="1" t="str">
        <f>IF('Skill Index'!AD4&lt;6,'Skill Index'!A4,"")</f>
        <v>Ankit Rajput</v>
      </c>
    </row>
    <row r="7" spans="1:14" x14ac:dyDescent="0.35">
      <c r="A7" s="1" t="str">
        <f>IF('Skill Index'!AC5=10,'Skill Index'!A5,"")</f>
        <v/>
      </c>
      <c r="B7" s="1" t="str">
        <f>IF('Skill Index'!AC5=9,'Skill Index'!A5,"")</f>
        <v/>
      </c>
      <c r="C7" s="1" t="str">
        <f>IF('Skill Index'!AC5=8,'Skill Index'!A5,"")</f>
        <v/>
      </c>
      <c r="D7" s="1" t="str">
        <f>IF('Skill Index'!AC5=7,'Skill Index'!A5,"")</f>
        <v/>
      </c>
      <c r="E7" s="1" t="str">
        <f>IF('Skill Index'!AC5=6,'Skill Index'!A5,"")</f>
        <v/>
      </c>
      <c r="F7" s="1" t="str">
        <f>IF('Skill Index'!AC5&lt;6,'Skill Index'!A5,"")</f>
        <v>Anusha Gunda</v>
      </c>
      <c r="I7" s="1" t="str">
        <f>IF('Skill Index'!AD5=10,'Skill Index'!A5,"")</f>
        <v/>
      </c>
      <c r="J7" s="1" t="str">
        <f>IF('Skill Index'!AD5=9,'Skill Index'!A5,"")</f>
        <v/>
      </c>
      <c r="K7" s="1" t="str">
        <f>IF('Skill Index'!AD5=8,'Skill Index'!A5,"")</f>
        <v/>
      </c>
      <c r="L7" s="1" t="str">
        <f>IF('Skill Index'!AD5=7,'Skill Index'!A5,"")</f>
        <v/>
      </c>
      <c r="M7" s="1" t="str">
        <f>IF('Skill Index'!AD5=6,'Skill Index'!A5,"")</f>
        <v>Anusha Gunda</v>
      </c>
      <c r="N7" s="1" t="str">
        <f>IF('Skill Index'!AD5&lt;6,'Skill Index'!A5,"")</f>
        <v/>
      </c>
    </row>
    <row r="8" spans="1:14" x14ac:dyDescent="0.35">
      <c r="A8" s="1" t="str">
        <f>IF('Skill Index'!AC6=10,'Skill Index'!A6,"")</f>
        <v/>
      </c>
      <c r="B8" s="1" t="str">
        <f>IF('Skill Index'!AC6=9,'Skill Index'!A6,"")</f>
        <v/>
      </c>
      <c r="C8" s="1" t="str">
        <f>IF('Skill Index'!AC6=8,'Skill Index'!A6,"")</f>
        <v/>
      </c>
      <c r="D8" s="1" t="str">
        <f>IF('Skill Index'!AC6=7,'Skill Index'!A6,"")</f>
        <v/>
      </c>
      <c r="E8" s="1" t="str">
        <f>IF('Skill Index'!AC6=6,'Skill Index'!A6,"")</f>
        <v/>
      </c>
      <c r="F8" s="1" t="str">
        <f>IF('Skill Index'!AC6&lt;6,'Skill Index'!A6,"")</f>
        <v>Arun Kumar</v>
      </c>
      <c r="I8" s="1" t="str">
        <f>IF('Skill Index'!AD6=10,'Skill Index'!A6,"")</f>
        <v/>
      </c>
      <c r="J8" s="1" t="str">
        <f>IF('Skill Index'!AD6=9,'Skill Index'!A6,"")</f>
        <v/>
      </c>
      <c r="K8" s="1" t="str">
        <f>IF('Skill Index'!AD6=8,'Skill Index'!A6,"")</f>
        <v/>
      </c>
      <c r="L8" s="1" t="str">
        <f>IF('Skill Index'!AD6=7,'Skill Index'!A6,"")</f>
        <v/>
      </c>
      <c r="M8" s="1" t="str">
        <f>IF('Skill Index'!AD6=6,'Skill Index'!A6,"")</f>
        <v/>
      </c>
      <c r="N8" s="1" t="str">
        <f>IF('Skill Index'!AD6&lt;6,'Skill Index'!A6,"")</f>
        <v>Arun Kumar</v>
      </c>
    </row>
    <row r="9" spans="1:14" x14ac:dyDescent="0.35">
      <c r="A9" s="1" t="str">
        <f>IF('Skill Index'!AC7=10,'Skill Index'!A7,"")</f>
        <v/>
      </c>
      <c r="B9" s="1" t="str">
        <f>IF('Skill Index'!AC7=9,'Skill Index'!A7,"")</f>
        <v/>
      </c>
      <c r="C9" s="1" t="str">
        <f>IF('Skill Index'!AC7=8,'Skill Index'!A7,"")</f>
        <v/>
      </c>
      <c r="D9" s="1" t="str">
        <f>IF('Skill Index'!AC7=7,'Skill Index'!A7,"")</f>
        <v/>
      </c>
      <c r="E9" s="1" t="str">
        <f>IF('Skill Index'!AC7=6,'Skill Index'!A7,"")</f>
        <v/>
      </c>
      <c r="F9" s="1" t="str">
        <f>IF('Skill Index'!AC7&lt;6,'Skill Index'!A7,"")</f>
        <v>Ashraya H D</v>
      </c>
      <c r="I9" s="1" t="str">
        <f>IF('Skill Index'!AD7=10,'Skill Index'!A7,"")</f>
        <v/>
      </c>
      <c r="J9" s="1" t="str">
        <f>IF('Skill Index'!AD7=9,'Skill Index'!A7,"")</f>
        <v/>
      </c>
      <c r="K9" s="1" t="str">
        <f>IF('Skill Index'!AD7=8,'Skill Index'!A7,"")</f>
        <v>Ashraya H D</v>
      </c>
      <c r="L9" s="1" t="str">
        <f>IF('Skill Index'!AD7=7,'Skill Index'!A7,"")</f>
        <v/>
      </c>
      <c r="M9" s="1" t="str">
        <f>IF('Skill Index'!AD7=6,'Skill Index'!A7,"")</f>
        <v/>
      </c>
      <c r="N9" s="1" t="str">
        <f>IF('Skill Index'!AD7&lt;6,'Skill Index'!A7,"")</f>
        <v/>
      </c>
    </row>
    <row r="10" spans="1:14" x14ac:dyDescent="0.35">
      <c r="A10" s="1" t="str">
        <f>IF('Skill Index'!AC8=10,'Skill Index'!A8,"")</f>
        <v/>
      </c>
      <c r="B10" s="1" t="str">
        <f>IF('Skill Index'!AC8=9,'Skill Index'!A8,"")</f>
        <v/>
      </c>
      <c r="C10" s="1" t="str">
        <f>IF('Skill Index'!AC8=8,'Skill Index'!A8,"")</f>
        <v/>
      </c>
      <c r="D10" s="1" t="str">
        <f>IF('Skill Index'!AC8=7,'Skill Index'!A8,"")</f>
        <v/>
      </c>
      <c r="E10" s="1" t="str">
        <f>IF('Skill Index'!AC8=6,'Skill Index'!A8,"")</f>
        <v/>
      </c>
      <c r="F10" s="1" t="str">
        <f>IF('Skill Index'!AC8&lt;6,'Skill Index'!A8,"")</f>
        <v>Jeet Doshi</v>
      </c>
      <c r="I10" s="1" t="str">
        <f>IF('Skill Index'!AD8=10,'Skill Index'!A8,"")</f>
        <v/>
      </c>
      <c r="J10" s="1" t="str">
        <f>IF('Skill Index'!AD8=9,'Skill Index'!A8,"")</f>
        <v/>
      </c>
      <c r="K10" s="1" t="str">
        <f>IF('Skill Index'!AD8=8,'Skill Index'!A8,"")</f>
        <v/>
      </c>
      <c r="L10" s="1" t="str">
        <f>IF('Skill Index'!AD8=7,'Skill Index'!A8,"")</f>
        <v/>
      </c>
      <c r="M10" s="1" t="str">
        <f>IF('Skill Index'!AD8=6,'Skill Index'!A8,"")</f>
        <v/>
      </c>
      <c r="N10" s="1" t="str">
        <f>IF('Skill Index'!AD8&lt;6,'Skill Index'!A8,"")</f>
        <v>Jeet Doshi</v>
      </c>
    </row>
    <row r="11" spans="1:14" x14ac:dyDescent="0.35">
      <c r="A11" s="1" t="str">
        <f>IF('Skill Index'!AC9=10,'Skill Index'!A9,"")</f>
        <v/>
      </c>
      <c r="B11" s="1" t="str">
        <f>IF('Skill Index'!AC9=9,'Skill Index'!A9,"")</f>
        <v/>
      </c>
      <c r="C11" s="1" t="str">
        <f>IF('Skill Index'!AC9=8,'Skill Index'!A9,"")</f>
        <v/>
      </c>
      <c r="D11" s="1" t="str">
        <f>IF('Skill Index'!AC9=7,'Skill Index'!A9,"")</f>
        <v/>
      </c>
      <c r="E11" s="1" t="str">
        <f>IF('Skill Index'!AC9=6,'Skill Index'!A9,"")</f>
        <v/>
      </c>
      <c r="F11" s="1" t="str">
        <f>IF('Skill Index'!AC9&lt;6,'Skill Index'!A9,"")</f>
        <v>Mahesh Kumar</v>
      </c>
      <c r="I11" s="1" t="str">
        <f>IF('Skill Index'!AD9=10,'Skill Index'!A9,"")</f>
        <v/>
      </c>
      <c r="J11" s="1" t="str">
        <f>IF('Skill Index'!AD9=9,'Skill Index'!A9,"")</f>
        <v/>
      </c>
      <c r="K11" s="1" t="str">
        <f>IF('Skill Index'!AD9=8,'Skill Index'!A9,"")</f>
        <v/>
      </c>
      <c r="L11" s="1" t="str">
        <f>IF('Skill Index'!AD9=7,'Skill Index'!A9,"")</f>
        <v/>
      </c>
      <c r="M11" s="1" t="str">
        <f>IF('Skill Index'!AD9=6,'Skill Index'!A9,"")</f>
        <v/>
      </c>
      <c r="N11" s="1" t="str">
        <f>IF('Skill Index'!AD9&lt;6,'Skill Index'!A9,"")</f>
        <v>Mahesh Kumar</v>
      </c>
    </row>
    <row r="12" spans="1:14" x14ac:dyDescent="0.35">
      <c r="A12" s="1" t="str">
        <f>IF('Skill Index'!AC10=10,'Skill Index'!A10,"")</f>
        <v/>
      </c>
      <c r="B12" s="1" t="str">
        <f>IF('Skill Index'!AC10=9,'Skill Index'!A10,"")</f>
        <v/>
      </c>
      <c r="C12" s="1" t="str">
        <f>IF('Skill Index'!AC10=8,'Skill Index'!A10,"")</f>
        <v/>
      </c>
      <c r="D12" s="1" t="str">
        <f>IF('Skill Index'!AC10=7,'Skill Index'!A10,"")</f>
        <v/>
      </c>
      <c r="E12" s="1" t="str">
        <f>IF('Skill Index'!AC10=6,'Skill Index'!A10,"")</f>
        <v>Nilekha Repaka</v>
      </c>
      <c r="F12" s="1" t="str">
        <f>IF('Skill Index'!AC10&lt;6,'Skill Index'!A10,"")</f>
        <v/>
      </c>
      <c r="I12" s="1" t="str">
        <f>IF('Skill Index'!AD10=10,'Skill Index'!A10,"")</f>
        <v/>
      </c>
      <c r="J12" s="1" t="str">
        <f>IF('Skill Index'!AD10=9,'Skill Index'!A10,"")</f>
        <v/>
      </c>
      <c r="K12" s="1" t="str">
        <f>IF('Skill Index'!AD10=8,'Skill Index'!A10,"")</f>
        <v/>
      </c>
      <c r="L12" s="1" t="str">
        <f>IF('Skill Index'!AD10=7,'Skill Index'!A10,"")</f>
        <v/>
      </c>
      <c r="M12" s="1" t="str">
        <f>IF('Skill Index'!AD10=6,'Skill Index'!A10,"")</f>
        <v>Nilekha Repaka</v>
      </c>
      <c r="N12" s="1" t="str">
        <f>IF('Skill Index'!AD10&lt;6,'Skill Index'!A10,"")</f>
        <v/>
      </c>
    </row>
    <row r="13" spans="1:14" x14ac:dyDescent="0.35">
      <c r="A13" s="1" t="str">
        <f>IF('Skill Index'!AC11=10,'Skill Index'!A11,"")</f>
        <v/>
      </c>
      <c r="B13" s="1" t="str">
        <f>IF('Skill Index'!AC11=9,'Skill Index'!A11,"")</f>
        <v/>
      </c>
      <c r="C13" s="1" t="str">
        <f>IF('Skill Index'!AC11=8,'Skill Index'!A11,"")</f>
        <v/>
      </c>
      <c r="D13" s="1" t="str">
        <f>IF('Skill Index'!AC11=7,'Skill Index'!A11,"")</f>
        <v/>
      </c>
      <c r="E13" s="1" t="str">
        <f>IF('Skill Index'!AC11=6,'Skill Index'!A11,"")</f>
        <v>Pawan Rathore</v>
      </c>
      <c r="F13" s="1" t="str">
        <f>IF('Skill Index'!AC11&lt;6,'Skill Index'!A11,"")</f>
        <v/>
      </c>
      <c r="I13" s="1" t="str">
        <f>IF('Skill Index'!AD11=10,'Skill Index'!A11,"")</f>
        <v/>
      </c>
      <c r="J13" s="1" t="str">
        <f>IF('Skill Index'!AD11=9,'Skill Index'!A11,"")</f>
        <v/>
      </c>
      <c r="K13" s="1" t="str">
        <f>IF('Skill Index'!AD11=8,'Skill Index'!A11,"")</f>
        <v/>
      </c>
      <c r="L13" s="1" t="str">
        <f>IF('Skill Index'!AD11=7,'Skill Index'!A11,"")</f>
        <v/>
      </c>
      <c r="M13" s="1" t="str">
        <f>IF('Skill Index'!AD11=6,'Skill Index'!A11,"")</f>
        <v>Pawan Rathore</v>
      </c>
      <c r="N13" s="1" t="str">
        <f>IF('Skill Index'!AD11&lt;6,'Skill Index'!A11,"")</f>
        <v/>
      </c>
    </row>
    <row r="14" spans="1:14" x14ac:dyDescent="0.35">
      <c r="A14" s="1" t="str">
        <f>IF('Skill Index'!AC12=10,'Skill Index'!A12,"")</f>
        <v/>
      </c>
      <c r="B14" s="1" t="str">
        <f>IF('Skill Index'!AC12=9,'Skill Index'!A12,"")</f>
        <v/>
      </c>
      <c r="C14" s="1" t="str">
        <f>IF('Skill Index'!AC12=8,'Skill Index'!A12,"")</f>
        <v/>
      </c>
      <c r="D14" s="1" t="str">
        <f>IF('Skill Index'!AC12=7,'Skill Index'!A12,"")</f>
        <v/>
      </c>
      <c r="E14" s="1" t="str">
        <f>IF('Skill Index'!AC12=6,'Skill Index'!A12,"")</f>
        <v/>
      </c>
      <c r="F14" s="1" t="str">
        <f>IF('Skill Index'!AC12&lt;6,'Skill Index'!A12,"")</f>
        <v>Priyesh Tiwari</v>
      </c>
      <c r="I14" s="1" t="str">
        <f>IF('Skill Index'!AD12=10,'Skill Index'!A12,"")</f>
        <v/>
      </c>
      <c r="J14" s="1" t="str">
        <f>IF('Skill Index'!AD12=9,'Skill Index'!A12,"")</f>
        <v/>
      </c>
      <c r="K14" s="1" t="str">
        <f>IF('Skill Index'!AD12=8,'Skill Index'!A12,"")</f>
        <v/>
      </c>
      <c r="L14" s="1" t="str">
        <f>IF('Skill Index'!AD12=7,'Skill Index'!A12,"")</f>
        <v/>
      </c>
      <c r="M14" s="1" t="str">
        <f>IF('Skill Index'!AD12=6,'Skill Index'!A12,"")</f>
        <v/>
      </c>
      <c r="N14" s="1" t="str">
        <f>IF('Skill Index'!AD12&lt;6,'Skill Index'!A12,"")</f>
        <v>Priyesh Tiwari</v>
      </c>
    </row>
    <row r="15" spans="1:14" x14ac:dyDescent="0.35">
      <c r="A15" s="1" t="str">
        <f>IF('Skill Index'!AC13=10,'Skill Index'!A13,"")</f>
        <v/>
      </c>
      <c r="B15" s="1" t="str">
        <f>IF('Skill Index'!AC13=9,'Skill Index'!A13,"")</f>
        <v/>
      </c>
      <c r="C15" s="1" t="str">
        <f>IF('Skill Index'!AC13=8,'Skill Index'!A13,"")</f>
        <v/>
      </c>
      <c r="D15" s="1" t="str">
        <f>IF('Skill Index'!AC13=7,'Skill Index'!A13,"")</f>
        <v/>
      </c>
      <c r="E15" s="1" t="str">
        <f>IF('Skill Index'!AC13=6,'Skill Index'!A13,"")</f>
        <v/>
      </c>
      <c r="F15" s="1" t="str">
        <f>IF('Skill Index'!AC13&lt;6,'Skill Index'!A13,"")</f>
        <v>Rahul Kumar</v>
      </c>
      <c r="I15" s="1" t="str">
        <f>IF('Skill Index'!AD13=10,'Skill Index'!A13,"")</f>
        <v/>
      </c>
      <c r="J15" s="1" t="str">
        <f>IF('Skill Index'!AD13=9,'Skill Index'!A13,"")</f>
        <v/>
      </c>
      <c r="K15" s="1" t="str">
        <f>IF('Skill Index'!AD13=8,'Skill Index'!A13,"")</f>
        <v/>
      </c>
      <c r="L15" s="1" t="str">
        <f>IF('Skill Index'!AD13=7,'Skill Index'!A13,"")</f>
        <v>Rahul Kumar</v>
      </c>
      <c r="M15" s="1" t="str">
        <f>IF('Skill Index'!AD13=6,'Skill Index'!A13,"")</f>
        <v/>
      </c>
      <c r="N15" s="1" t="str">
        <f>IF('Skill Index'!AD13&lt;6,'Skill Index'!A13,"")</f>
        <v/>
      </c>
    </row>
    <row r="16" spans="1:14" x14ac:dyDescent="0.35">
      <c r="A16" s="1" t="str">
        <f>IF('Skill Index'!AC14=10,'Skill Index'!A14,"")</f>
        <v/>
      </c>
      <c r="B16" s="1" t="str">
        <f>IF('Skill Index'!AC14=9,'Skill Index'!A14,"")</f>
        <v/>
      </c>
      <c r="C16" s="1" t="str">
        <f>IF('Skill Index'!AC14=8,'Skill Index'!A14,"")</f>
        <v/>
      </c>
      <c r="D16" s="1" t="str">
        <f>IF('Skill Index'!AC14=7,'Skill Index'!A14,"")</f>
        <v/>
      </c>
      <c r="E16" s="1" t="str">
        <f>IF('Skill Index'!AC14=6,'Skill Index'!A14,"")</f>
        <v/>
      </c>
      <c r="F16" s="1" t="str">
        <f>IF('Skill Index'!AC14&lt;6,'Skill Index'!A14,"")</f>
        <v>Ramkrishna Kadiya</v>
      </c>
      <c r="I16" s="1" t="str">
        <f>IF('Skill Index'!AD14=10,'Skill Index'!A14,"")</f>
        <v/>
      </c>
      <c r="J16" s="1" t="str">
        <f>IF('Skill Index'!AD14=9,'Skill Index'!A14,"")</f>
        <v/>
      </c>
      <c r="K16" s="1" t="str">
        <f>IF('Skill Index'!AD14=8,'Skill Index'!A14,"")</f>
        <v/>
      </c>
      <c r="L16" s="1" t="str">
        <f>IF('Skill Index'!AD14=7,'Skill Index'!A14,"")</f>
        <v/>
      </c>
      <c r="M16" s="1" t="str">
        <f>IF('Skill Index'!AD14=6,'Skill Index'!A14,"")</f>
        <v/>
      </c>
      <c r="N16" s="1" t="str">
        <f>IF('Skill Index'!AD14&lt;6,'Skill Index'!A14,"")</f>
        <v>Ramkrishna Kadiya</v>
      </c>
    </row>
    <row r="17" spans="1:14" x14ac:dyDescent="0.35">
      <c r="A17" s="1" t="str">
        <f>IF('Skill Index'!AC15=10,'Skill Index'!A15,"")</f>
        <v/>
      </c>
      <c r="B17" s="1" t="str">
        <f>IF('Skill Index'!AC15=9,'Skill Index'!A15,"")</f>
        <v/>
      </c>
      <c r="C17" s="1" t="str">
        <f>IF('Skill Index'!AC15=8,'Skill Index'!A15,"")</f>
        <v/>
      </c>
      <c r="D17" s="1" t="str">
        <f>IF('Skill Index'!AC15=7,'Skill Index'!A15,"")</f>
        <v/>
      </c>
      <c r="E17" s="1" t="str">
        <f>IF('Skill Index'!AC15=6,'Skill Index'!A15,"")</f>
        <v/>
      </c>
      <c r="F17" s="1" t="str">
        <f>IF('Skill Index'!AC15&lt;6,'Skill Index'!A15,"")</f>
        <v>Revanth Anguluri</v>
      </c>
      <c r="I17" s="1" t="str">
        <f>IF('Skill Index'!AD15=10,'Skill Index'!A15,"")</f>
        <v/>
      </c>
      <c r="J17" s="1" t="str">
        <f>IF('Skill Index'!AD15=9,'Skill Index'!A15,"")</f>
        <v/>
      </c>
      <c r="K17" s="1" t="str">
        <f>IF('Skill Index'!AD15=8,'Skill Index'!A15,"")</f>
        <v/>
      </c>
      <c r="L17" s="1" t="str">
        <f>IF('Skill Index'!AD15=7,'Skill Index'!A15,"")</f>
        <v/>
      </c>
      <c r="M17" s="1" t="str">
        <f>IF('Skill Index'!AD15=6,'Skill Index'!A15,"")</f>
        <v/>
      </c>
      <c r="N17" s="1" t="str">
        <f>IF('Skill Index'!AD15&lt;6,'Skill Index'!A15,"")</f>
        <v>Revanth Anguluri</v>
      </c>
    </row>
    <row r="18" spans="1:14" x14ac:dyDescent="0.35">
      <c r="A18" s="1" t="str">
        <f>IF('Skill Index'!AC16=10,'Skill Index'!A16,"")</f>
        <v/>
      </c>
      <c r="B18" s="1" t="str">
        <f>IF('Skill Index'!AC16=9,'Skill Index'!A16,"")</f>
        <v/>
      </c>
      <c r="C18" s="1" t="str">
        <f>IF('Skill Index'!AC16=8,'Skill Index'!A16,"")</f>
        <v/>
      </c>
      <c r="D18" s="1" t="str">
        <f>IF('Skill Index'!AC16=7,'Skill Index'!A16,"")</f>
        <v/>
      </c>
      <c r="E18" s="1" t="str">
        <f>IF('Skill Index'!AC16=6,'Skill Index'!A16,"")</f>
        <v/>
      </c>
      <c r="F18" s="1" t="str">
        <f>IF('Skill Index'!AC16&lt;6,'Skill Index'!A16,"")</f>
        <v>Sagar Sable</v>
      </c>
      <c r="I18" s="1" t="str">
        <f>IF('Skill Index'!AD16=10,'Skill Index'!A16,"")</f>
        <v/>
      </c>
      <c r="J18" s="1" t="str">
        <f>IF('Skill Index'!AD16=9,'Skill Index'!A16,"")</f>
        <v/>
      </c>
      <c r="K18" s="1" t="str">
        <f>IF('Skill Index'!AD16=8,'Skill Index'!A16,"")</f>
        <v/>
      </c>
      <c r="L18" s="1" t="str">
        <f>IF('Skill Index'!AD16=7,'Skill Index'!A16,"")</f>
        <v/>
      </c>
      <c r="M18" s="1" t="str">
        <f>IF('Skill Index'!AD16=6,'Skill Index'!A16,"")</f>
        <v>Sagar Sable</v>
      </c>
      <c r="N18" s="1" t="str">
        <f>IF('Skill Index'!AD16&lt;6,'Skill Index'!A16,"")</f>
        <v/>
      </c>
    </row>
    <row r="19" spans="1:14" x14ac:dyDescent="0.35">
      <c r="A19" s="1" t="str">
        <f>IF('Skill Index'!AC17=10,'Skill Index'!A17,"")</f>
        <v/>
      </c>
      <c r="B19" s="1" t="str">
        <f>IF('Skill Index'!AC17=9,'Skill Index'!A17,"")</f>
        <v/>
      </c>
      <c r="C19" s="1" t="str">
        <f>IF('Skill Index'!AC17=8,'Skill Index'!A17,"")</f>
        <v/>
      </c>
      <c r="D19" s="1" t="str">
        <f>IF('Skill Index'!AC17=7,'Skill Index'!A17,"")</f>
        <v/>
      </c>
      <c r="E19" s="1" t="str">
        <f>IF('Skill Index'!AC17=6,'Skill Index'!A17,"")</f>
        <v/>
      </c>
      <c r="F19" s="1" t="str">
        <f>IF('Skill Index'!AC17&lt;6,'Skill Index'!A17,"")</f>
        <v>Shreya Ramprakash</v>
      </c>
      <c r="I19" s="1" t="str">
        <f>IF('Skill Index'!AD17=10,'Skill Index'!A17,"")</f>
        <v/>
      </c>
      <c r="J19" s="1" t="str">
        <f>IF('Skill Index'!AD17=9,'Skill Index'!A17,"")</f>
        <v/>
      </c>
      <c r="K19" s="1" t="str">
        <f>IF('Skill Index'!AD17=8,'Skill Index'!A17,"")</f>
        <v/>
      </c>
      <c r="L19" s="1" t="str">
        <f>IF('Skill Index'!AD17=7,'Skill Index'!A17,"")</f>
        <v/>
      </c>
      <c r="M19" s="1" t="str">
        <f>IF('Skill Index'!AD17=6,'Skill Index'!A17,"")</f>
        <v/>
      </c>
      <c r="N19" s="1" t="str">
        <f>IF('Skill Index'!AD17&lt;6,'Skill Index'!A17,"")</f>
        <v>Shreya Ramprakash</v>
      </c>
    </row>
    <row r="20" spans="1:14" x14ac:dyDescent="0.35">
      <c r="A20" s="1" t="str">
        <f>IF('Skill Index'!AC18=10,'Skill Index'!A18,"")</f>
        <v/>
      </c>
      <c r="B20" s="1" t="str">
        <f>IF('Skill Index'!AC18=9,'Skill Index'!A18,"")</f>
        <v/>
      </c>
      <c r="C20" s="1" t="str">
        <f>IF('Skill Index'!AC18=8,'Skill Index'!A18,"")</f>
        <v/>
      </c>
      <c r="D20" s="1" t="str">
        <f>IF('Skill Index'!AC18=7,'Skill Index'!A18,"")</f>
        <v/>
      </c>
      <c r="E20" s="1" t="str">
        <f>IF('Skill Index'!AC18=6,'Skill Index'!A18,"")</f>
        <v/>
      </c>
      <c r="F20" s="1" t="str">
        <f>IF('Skill Index'!AC18&lt;6,'Skill Index'!A18,"")</f>
        <v>Shreyas Risodkar</v>
      </c>
      <c r="I20" s="1" t="str">
        <f>IF('Skill Index'!AD18=10,'Skill Index'!A18,"")</f>
        <v/>
      </c>
      <c r="J20" s="1" t="str">
        <f>IF('Skill Index'!AD18=9,'Skill Index'!A18,"")</f>
        <v/>
      </c>
      <c r="K20" s="1" t="str">
        <f>IF('Skill Index'!AD18=8,'Skill Index'!A18,"")</f>
        <v/>
      </c>
      <c r="L20" s="1" t="str">
        <f>IF('Skill Index'!AD18=7,'Skill Index'!A18,"")</f>
        <v>Shreyas Risodkar</v>
      </c>
      <c r="M20" s="1" t="str">
        <f>IF('Skill Index'!AD18=6,'Skill Index'!A18,"")</f>
        <v/>
      </c>
      <c r="N20" s="1" t="str">
        <f>IF('Skill Index'!AD18&lt;6,'Skill Index'!A18,"")</f>
        <v/>
      </c>
    </row>
    <row r="21" spans="1:14" x14ac:dyDescent="0.35">
      <c r="A21" s="1" t="str">
        <f>IF('Skill Index'!AC19=10,'Skill Index'!A19,"")</f>
        <v/>
      </c>
      <c r="B21" s="1" t="str">
        <f>IF('Skill Index'!AC19=9,'Skill Index'!A19,"")</f>
        <v/>
      </c>
      <c r="C21" s="1" t="str">
        <f>IF('Skill Index'!AC19=8,'Skill Index'!A19,"")</f>
        <v/>
      </c>
      <c r="D21" s="1" t="str">
        <f>IF('Skill Index'!AC19=7,'Skill Index'!A19,"")</f>
        <v>Srikirti Raj</v>
      </c>
      <c r="E21" s="1" t="str">
        <f>IF('Skill Index'!AC19=6,'Skill Index'!A19,"")</f>
        <v/>
      </c>
      <c r="F21" s="1" t="str">
        <f>IF('Skill Index'!AC19&lt;6,'Skill Index'!A19,"")</f>
        <v/>
      </c>
      <c r="I21" s="1" t="str">
        <f>IF('Skill Index'!AD19=10,'Skill Index'!A19,"")</f>
        <v/>
      </c>
      <c r="J21" s="1" t="str">
        <f>IF('Skill Index'!AD19=9,'Skill Index'!A19,"")</f>
        <v/>
      </c>
      <c r="K21" s="1" t="str">
        <f>IF('Skill Index'!AD19=8,'Skill Index'!A19,"")</f>
        <v/>
      </c>
      <c r="L21" s="1" t="str">
        <f>IF('Skill Index'!AD19=7,'Skill Index'!A19,"")</f>
        <v>Srikirti Raj</v>
      </c>
      <c r="M21" s="1" t="str">
        <f>IF('Skill Index'!AD19=6,'Skill Index'!A19,"")</f>
        <v/>
      </c>
      <c r="N21" s="1" t="str">
        <f>IF('Skill Index'!AD19&lt;6,'Skill Index'!A19,"")</f>
        <v/>
      </c>
    </row>
    <row r="22" spans="1:14" x14ac:dyDescent="0.35">
      <c r="A22" s="1" t="str">
        <f>IF('Skill Index'!AC20=10,'Skill Index'!A20,"")</f>
        <v/>
      </c>
      <c r="B22" s="1" t="str">
        <f>IF('Skill Index'!AC20=9,'Skill Index'!A20,"")</f>
        <v/>
      </c>
      <c r="C22" s="1" t="str">
        <f>IF('Skill Index'!AC20=8,'Skill Index'!A20,"")</f>
        <v/>
      </c>
      <c r="D22" s="1" t="str">
        <f>IF('Skill Index'!AC20=7,'Skill Index'!A20,"")</f>
        <v/>
      </c>
      <c r="E22" s="1" t="str">
        <f>IF('Skill Index'!AC20=6,'Skill Index'!A20,"")</f>
        <v/>
      </c>
      <c r="F22" s="1" t="str">
        <f>IF('Skill Index'!AC20&lt;6,'Skill Index'!A20,"")</f>
        <v>Swetha KJ</v>
      </c>
      <c r="I22" s="1" t="str">
        <f>IF('Skill Index'!AD20=10,'Skill Index'!A20,"")</f>
        <v/>
      </c>
      <c r="J22" s="1" t="str">
        <f>IF('Skill Index'!AD20=9,'Skill Index'!A20,"")</f>
        <v/>
      </c>
      <c r="K22" s="1" t="str">
        <f>IF('Skill Index'!AD20=8,'Skill Index'!A20,"")</f>
        <v/>
      </c>
      <c r="L22" s="1" t="str">
        <f>IF('Skill Index'!AD20=7,'Skill Index'!A20,"")</f>
        <v/>
      </c>
      <c r="M22" s="1" t="str">
        <f>IF('Skill Index'!AD20=6,'Skill Index'!A20,"")</f>
        <v>Swetha KJ</v>
      </c>
      <c r="N22" s="1" t="str">
        <f>IF('Skill Index'!AD20&lt;6,'Skill Index'!A20,"")</f>
        <v/>
      </c>
    </row>
  </sheetData>
  <mergeCells count="2">
    <mergeCell ref="A1:F2"/>
    <mergeCell ref="I1:N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731E-B436-4833-A976-0C178C943DAD}">
  <sheetPr codeName="Sheet30"/>
  <dimension ref="A1:F22"/>
  <sheetViews>
    <sheetView workbookViewId="0">
      <selection activeCell="F11" sqref="F11"/>
    </sheetView>
  </sheetViews>
  <sheetFormatPr defaultRowHeight="14.5" x14ac:dyDescent="0.35"/>
  <cols>
    <col min="1" max="1" width="13.1796875" customWidth="1"/>
    <col min="3" max="4" width="17.453125" bestFit="1" customWidth="1"/>
    <col min="5" max="5" width="15" bestFit="1" customWidth="1"/>
    <col min="6" max="6" width="16.81640625" bestFit="1" customWidth="1"/>
  </cols>
  <sheetData>
    <row r="1" spans="1:6" x14ac:dyDescent="0.35">
      <c r="A1" s="84" t="s">
        <v>262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Index'!AE4=10,'Skill Index'!A4,"")</f>
        <v/>
      </c>
      <c r="B6" s="1" t="str">
        <f>IF('Skill Index'!AE4=9,'Skill Index'!A4,"")</f>
        <v/>
      </c>
      <c r="C6" s="1" t="str">
        <f>IF('Skill Index'!AE4=8,'Skill Index'!A4,"")</f>
        <v/>
      </c>
      <c r="D6" s="1" t="str">
        <f>IF('Skill Index'!AE4=7,'Skill Index'!A4,"")</f>
        <v/>
      </c>
      <c r="E6" s="1" t="str">
        <f>IF('Skill Index'!AE4=6,'Skill Index'!A4,"")</f>
        <v/>
      </c>
      <c r="F6" s="1" t="str">
        <f>IF('Skill Index'!AE4&lt;6,'Skill Index'!A4,"")</f>
        <v>Ankit Rajput</v>
      </c>
    </row>
    <row r="7" spans="1:6" x14ac:dyDescent="0.35">
      <c r="A7" s="1" t="str">
        <f>IF('Skill Index'!AE5=10,'Skill Index'!A5,"")</f>
        <v/>
      </c>
      <c r="B7" s="1" t="str">
        <f>IF('Skill Index'!AE5=9,'Skill Index'!A5,"")</f>
        <v/>
      </c>
      <c r="C7" s="1" t="str">
        <f>IF('Skill Index'!AE5=8,'Skill Index'!A5,"")</f>
        <v/>
      </c>
      <c r="D7" s="1" t="str">
        <f>IF('Skill Index'!AE5=7,'Skill Index'!A5,"")</f>
        <v/>
      </c>
      <c r="E7" s="1" t="str">
        <f>IF('Skill Index'!AE5=6,'Skill Index'!A5,"")</f>
        <v/>
      </c>
      <c r="F7" s="1" t="str">
        <f>IF('Skill Index'!AE5&lt;6,'Skill Index'!A5,"")</f>
        <v>Anusha Gunda</v>
      </c>
    </row>
    <row r="8" spans="1:6" x14ac:dyDescent="0.35">
      <c r="A8" s="1" t="str">
        <f>IF('Skill Index'!AE6=10,'Skill Index'!A6,"")</f>
        <v/>
      </c>
      <c r="B8" s="1" t="str">
        <f>IF('Skill Index'!AE6=9,'Skill Index'!A6,"")</f>
        <v/>
      </c>
      <c r="C8" s="1" t="str">
        <f>IF('Skill Index'!AE6=8,'Skill Index'!A6,"")</f>
        <v/>
      </c>
      <c r="D8" s="1" t="str">
        <f>IF('Skill Index'!AE6=7,'Skill Index'!A6,"")</f>
        <v/>
      </c>
      <c r="E8" s="1" t="str">
        <f>IF('Skill Index'!AE6=6,'Skill Index'!A6,"")</f>
        <v/>
      </c>
      <c r="F8" s="1" t="str">
        <f>IF('Skill Index'!AE6&lt;6,'Skill Index'!A6,"")</f>
        <v>Arun Kumar</v>
      </c>
    </row>
    <row r="9" spans="1:6" x14ac:dyDescent="0.35">
      <c r="A9" s="1" t="str">
        <f>IF('Skill Index'!AE7=10,'Skill Index'!A7,"")</f>
        <v/>
      </c>
      <c r="B9" s="1" t="str">
        <f>IF('Skill Index'!AE7=9,'Skill Index'!A7,"")</f>
        <v/>
      </c>
      <c r="C9" s="1" t="str">
        <f>IF('Skill Index'!AE7=8,'Skill Index'!A7,"")</f>
        <v/>
      </c>
      <c r="D9" s="1" t="str">
        <f>IF('Skill Index'!AE7=7,'Skill Index'!A7,"")</f>
        <v/>
      </c>
      <c r="E9" s="1" t="str">
        <f>IF('Skill Index'!AE7=6,'Skill Index'!A7,"")</f>
        <v/>
      </c>
      <c r="F9" s="1" t="str">
        <f>IF('Skill Index'!AE7&lt;6,'Skill Index'!A7,"")</f>
        <v>Ashraya H D</v>
      </c>
    </row>
    <row r="10" spans="1:6" x14ac:dyDescent="0.35">
      <c r="A10" s="1" t="str">
        <f>IF('Skill Index'!AE8=10,'Skill Index'!A8,"")</f>
        <v/>
      </c>
      <c r="B10" s="1" t="str">
        <f>IF('Skill Index'!AE8=9,'Skill Index'!A8,"")</f>
        <v/>
      </c>
      <c r="C10" s="1" t="str">
        <f>IF('Skill Index'!AE8=8,'Skill Index'!A8,"")</f>
        <v/>
      </c>
      <c r="D10" s="1" t="str">
        <f>IF('Skill Index'!AE8=7,'Skill Index'!A8,"")</f>
        <v/>
      </c>
      <c r="E10" s="1" t="str">
        <f>IF('Skill Index'!AE8=6,'Skill Index'!A8,"")</f>
        <v/>
      </c>
      <c r="F10" s="1" t="str">
        <f>IF('Skill Index'!AE8&lt;6,'Skill Index'!A8,"")</f>
        <v>Jeet Doshi</v>
      </c>
    </row>
    <row r="11" spans="1:6" x14ac:dyDescent="0.35">
      <c r="A11" s="1" t="str">
        <f>IF('Skill Index'!AE9=10,'Skill Index'!A9,"")</f>
        <v/>
      </c>
      <c r="B11" s="1" t="str">
        <f>IF('Skill Index'!AE9=9,'Skill Index'!A9,"")</f>
        <v/>
      </c>
      <c r="C11" s="1" t="str">
        <f>IF('Skill Index'!AE9=8,'Skill Index'!A9,"")</f>
        <v/>
      </c>
      <c r="D11" s="1" t="str">
        <f>IF('Skill Index'!AE9=7,'Skill Index'!A9,"")</f>
        <v/>
      </c>
      <c r="E11" s="1" t="str">
        <f>IF('Skill Index'!AE9=6,'Skill Index'!A9,"")</f>
        <v/>
      </c>
      <c r="F11" s="1" t="str">
        <f>IF('Skill Index'!AE9&lt;6,'Skill Index'!A9,"")</f>
        <v>Mahesh Kumar</v>
      </c>
    </row>
    <row r="12" spans="1:6" x14ac:dyDescent="0.35">
      <c r="A12" s="1" t="str">
        <f>IF('Skill Index'!AE10=10,'Skill Index'!A10,"")</f>
        <v/>
      </c>
      <c r="B12" s="1" t="str">
        <f>IF('Skill Index'!AE10=9,'Skill Index'!A10,"")</f>
        <v/>
      </c>
      <c r="C12" s="1" t="str">
        <f>IF('Skill Index'!AE10=8,'Skill Index'!A10,"")</f>
        <v/>
      </c>
      <c r="D12" s="1" t="str">
        <f>IF('Skill Index'!AE10=7,'Skill Index'!A10,"")</f>
        <v/>
      </c>
      <c r="E12" s="1" t="str">
        <f>IF('Skill Index'!AE10=6,'Skill Index'!A10,"")</f>
        <v/>
      </c>
      <c r="F12" s="1" t="str">
        <f>IF('Skill Index'!AE10&lt;6,'Skill Index'!A10,"")</f>
        <v>Nilekha Repaka</v>
      </c>
    </row>
    <row r="13" spans="1:6" x14ac:dyDescent="0.35">
      <c r="A13" s="1" t="str">
        <f>IF('Skill Index'!AE11=10,'Skill Index'!A11,"")</f>
        <v/>
      </c>
      <c r="B13" s="1" t="str">
        <f>IF('Skill Index'!AE11=9,'Skill Index'!A11,"")</f>
        <v/>
      </c>
      <c r="C13" s="1" t="str">
        <f>IF('Skill Index'!AE11=8,'Skill Index'!A11,"")</f>
        <v/>
      </c>
      <c r="D13" s="1" t="str">
        <f>IF('Skill Index'!AE11=7,'Skill Index'!A11,"")</f>
        <v/>
      </c>
      <c r="E13" s="1" t="str">
        <f>IF('Skill Index'!AE11=6,'Skill Index'!A11,"")</f>
        <v/>
      </c>
      <c r="F13" s="1" t="str">
        <f>IF('Skill Index'!AE11&lt;6,'Skill Index'!A11,"")</f>
        <v>Pawan Rathore</v>
      </c>
    </row>
    <row r="14" spans="1:6" x14ac:dyDescent="0.35">
      <c r="A14" s="1" t="str">
        <f>IF('Skill Index'!AE12=10,'Skill Index'!A12,"")</f>
        <v/>
      </c>
      <c r="B14" s="1" t="str">
        <f>IF('Skill Index'!AE12=9,'Skill Index'!A12,"")</f>
        <v/>
      </c>
      <c r="C14" s="1" t="str">
        <f>IF('Skill Index'!AE12=8,'Skill Index'!A12,"")</f>
        <v/>
      </c>
      <c r="D14" s="1" t="str">
        <f>IF('Skill Index'!AE12=7,'Skill Index'!A12,"")</f>
        <v>Priyesh Tiwari</v>
      </c>
      <c r="E14" s="1" t="str">
        <f>IF('Skill Index'!AE12=6,'Skill Index'!A12,"")</f>
        <v/>
      </c>
      <c r="F14" s="1" t="str">
        <f>IF('Skill Index'!AE12&lt;6,'Skill Index'!A12,"")</f>
        <v/>
      </c>
    </row>
    <row r="15" spans="1:6" x14ac:dyDescent="0.35">
      <c r="A15" s="1" t="str">
        <f>IF('Skill Index'!AE13=10,'Skill Index'!A13,"")</f>
        <v/>
      </c>
      <c r="B15" s="1" t="str">
        <f>IF('Skill Index'!AE13=9,'Skill Index'!A13,"")</f>
        <v/>
      </c>
      <c r="C15" s="1" t="str">
        <f>IF('Skill Index'!AE13=8,'Skill Index'!A13,"")</f>
        <v/>
      </c>
      <c r="D15" s="1" t="str">
        <f>IF('Skill Index'!AE13=7,'Skill Index'!A13,"")</f>
        <v/>
      </c>
      <c r="E15" s="1" t="str">
        <f>IF('Skill Index'!AE13=6,'Skill Index'!A13,"")</f>
        <v>Rahul Kumar</v>
      </c>
      <c r="F15" s="1" t="str">
        <f>IF('Skill Index'!AE13&lt;6,'Skill Index'!A13,"")</f>
        <v/>
      </c>
    </row>
    <row r="16" spans="1:6" x14ac:dyDescent="0.35">
      <c r="A16" s="1" t="str">
        <f>IF('Skill Index'!AE14=10,'Skill Index'!A14,"")</f>
        <v/>
      </c>
      <c r="B16" s="1" t="str">
        <f>IF('Skill Index'!AE14=9,'Skill Index'!A14,"")</f>
        <v/>
      </c>
      <c r="C16" s="1" t="str">
        <f>IF('Skill Index'!AE14=8,'Skill Index'!A14,"")</f>
        <v/>
      </c>
      <c r="D16" s="1" t="str">
        <f>IF('Skill Index'!AE14=7,'Skill Index'!A14,"")</f>
        <v>Ramkrishna Kadiya</v>
      </c>
      <c r="E16" s="1" t="str">
        <f>IF('Skill Index'!AE14=6,'Skill Index'!A14,"")</f>
        <v/>
      </c>
      <c r="F16" s="1" t="str">
        <f>IF('Skill Index'!AE14&lt;6,'Skill Index'!A14,"")</f>
        <v/>
      </c>
    </row>
    <row r="17" spans="1:6" x14ac:dyDescent="0.35">
      <c r="A17" s="1" t="str">
        <f>IF('Skill Index'!AE15=10,'Skill Index'!A15,"")</f>
        <v/>
      </c>
      <c r="B17" s="1" t="str">
        <f>IF('Skill Index'!AE15=9,'Skill Index'!A15,"")</f>
        <v/>
      </c>
      <c r="C17" s="1" t="str">
        <f>IF('Skill Index'!AE15=8,'Skill Index'!A15,"")</f>
        <v/>
      </c>
      <c r="D17" s="1" t="str">
        <f>IF('Skill Index'!AE15=7,'Skill Index'!A15,"")</f>
        <v>Revanth Anguluri</v>
      </c>
      <c r="E17" s="1" t="str">
        <f>IF('Skill Index'!AE15=6,'Skill Index'!A15,"")</f>
        <v/>
      </c>
      <c r="F17" s="1" t="str">
        <f>IF('Skill Index'!AE15&lt;6,'Skill Index'!A15,"")</f>
        <v/>
      </c>
    </row>
    <row r="18" spans="1:6" x14ac:dyDescent="0.35">
      <c r="A18" s="1" t="str">
        <f>IF('Skill Index'!AE16=10,'Skill Index'!A16,"")</f>
        <v/>
      </c>
      <c r="B18" s="1" t="str">
        <f>IF('Skill Index'!AE16=9,'Skill Index'!A16,"")</f>
        <v/>
      </c>
      <c r="C18" s="1" t="str">
        <f>IF('Skill Index'!AE16=8,'Skill Index'!A16,"")</f>
        <v/>
      </c>
      <c r="D18" s="1" t="str">
        <f>IF('Skill Index'!AE16=7,'Skill Index'!A16,"")</f>
        <v/>
      </c>
      <c r="E18" s="1" t="str">
        <f>IF('Skill Index'!AE16=6,'Skill Index'!A16,"")</f>
        <v>Sagar Sable</v>
      </c>
      <c r="F18" s="1" t="str">
        <f>IF('Skill Index'!AE16&lt;6,'Skill Index'!A16,"")</f>
        <v/>
      </c>
    </row>
    <row r="19" spans="1:6" x14ac:dyDescent="0.35">
      <c r="A19" s="1" t="str">
        <f>IF('Skill Index'!AE17=10,'Skill Index'!A17,"")</f>
        <v/>
      </c>
      <c r="B19" s="1" t="str">
        <f>IF('Skill Index'!AE17=9,'Skill Index'!A17,"")</f>
        <v/>
      </c>
      <c r="C19" s="1" t="str">
        <f>IF('Skill Index'!AE17=8,'Skill Index'!A17,"")</f>
        <v>Shreya Ramprakash</v>
      </c>
      <c r="D19" s="1" t="str">
        <f>IF('Skill Index'!AE17=7,'Skill Index'!A17,"")</f>
        <v/>
      </c>
      <c r="E19" s="1" t="str">
        <f>IF('Skill Index'!AE17=6,'Skill Index'!A17,"")</f>
        <v/>
      </c>
      <c r="F19" s="1" t="str">
        <f>IF('Skill Index'!AE17&lt;6,'Skill Index'!A17,"")</f>
        <v/>
      </c>
    </row>
    <row r="20" spans="1:6" x14ac:dyDescent="0.35">
      <c r="A20" s="1" t="str">
        <f>IF('Skill Index'!AE18=10,'Skill Index'!A18,"")</f>
        <v/>
      </c>
      <c r="B20" s="1" t="str">
        <f>IF('Skill Index'!AE18=9,'Skill Index'!A18,"")</f>
        <v/>
      </c>
      <c r="C20" s="1" t="str">
        <f>IF('Skill Index'!AE18=8,'Skill Index'!A18,"")</f>
        <v/>
      </c>
      <c r="D20" s="1" t="str">
        <f>IF('Skill Index'!AE18=7,'Skill Index'!A18,"")</f>
        <v/>
      </c>
      <c r="E20" s="1" t="str">
        <f>IF('Skill Index'!AE18=6,'Skill Index'!A18,"")</f>
        <v>Shreyas Risodkar</v>
      </c>
      <c r="F20" s="1" t="str">
        <f>IF('Skill Index'!AE18&lt;6,'Skill Index'!A18,"")</f>
        <v/>
      </c>
    </row>
    <row r="21" spans="1:6" x14ac:dyDescent="0.35">
      <c r="A21" s="1" t="str">
        <f>IF('Skill Index'!AE19=10,'Skill Index'!A19,"")</f>
        <v/>
      </c>
      <c r="B21" s="1" t="str">
        <f>IF('Skill Index'!AE19=9,'Skill Index'!A19,"")</f>
        <v/>
      </c>
      <c r="C21" s="1" t="str">
        <f>IF('Skill Index'!AE19=8,'Skill Index'!A19,"")</f>
        <v/>
      </c>
      <c r="D21" s="1" t="str">
        <f>IF('Skill Index'!AE19=7,'Skill Index'!A19,"")</f>
        <v/>
      </c>
      <c r="E21" s="1" t="str">
        <f>IF('Skill Index'!AE19=6,'Skill Index'!A19,"")</f>
        <v>Srikirti Raj</v>
      </c>
      <c r="F21" s="1" t="str">
        <f>IF('Skill Index'!AE19&lt;6,'Skill Index'!A19,"")</f>
        <v/>
      </c>
    </row>
    <row r="22" spans="1:6" x14ac:dyDescent="0.35">
      <c r="A22" s="1" t="str">
        <f>IF('Skill Index'!AE20=10,'Skill Index'!A20,"")</f>
        <v/>
      </c>
      <c r="B22" s="1" t="str">
        <f>IF('Skill Index'!AE20=9,'Skill Index'!A20,"")</f>
        <v/>
      </c>
      <c r="C22" s="1" t="str">
        <f>IF('Skill Index'!AE20=8,'Skill Index'!A20,"")</f>
        <v/>
      </c>
      <c r="D22" s="1" t="str">
        <f>IF('Skill Index'!AE20=7,'Skill Index'!A20,"")</f>
        <v/>
      </c>
      <c r="E22" s="1" t="str">
        <f>IF('Skill Index'!AE20=6,'Skill Index'!A20,"")</f>
        <v>Swetha KJ</v>
      </c>
      <c r="F22" s="1" t="str">
        <f>IF('Skill Index'!AE20&lt;6,'Skill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075A-7167-4579-9D7B-D6AEA1819BD9}">
  <sheetPr codeName="Sheet31"/>
  <dimension ref="A1:AD22"/>
  <sheetViews>
    <sheetView topLeftCell="O1" workbookViewId="0">
      <selection activeCell="V16" sqref="V16"/>
    </sheetView>
  </sheetViews>
  <sheetFormatPr defaultRowHeight="14.5" x14ac:dyDescent="0.35"/>
  <cols>
    <col min="1" max="1" width="13.1796875" customWidth="1"/>
    <col min="2" max="2" width="17.453125" bestFit="1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12.36328125" bestFit="1" customWidth="1"/>
    <col min="11" max="11" width="13.6328125" bestFit="1" customWidth="1"/>
    <col min="12" max="12" width="11" bestFit="1" customWidth="1"/>
    <col min="13" max="13" width="13.36328125" bestFit="1" customWidth="1"/>
    <col min="14" max="14" width="20.1796875" customWidth="1"/>
    <col min="17" max="17" width="17.453125" bestFit="1" customWidth="1"/>
    <col min="19" max="19" width="13.6328125" bestFit="1" customWidth="1"/>
    <col min="20" max="20" width="15.1796875" bestFit="1" customWidth="1"/>
    <col min="21" max="21" width="13.36328125" bestFit="1" customWidth="1"/>
    <col min="22" max="22" width="16.81640625" bestFit="1" customWidth="1"/>
    <col min="26" max="26" width="8.26953125" bestFit="1" customWidth="1"/>
    <col min="27" max="27" width="16.6328125" bestFit="1" customWidth="1"/>
    <col min="28" max="28" width="17.453125" bestFit="1" customWidth="1"/>
    <col min="29" max="29" width="13.36328125" bestFit="1" customWidth="1"/>
    <col min="30" max="30" width="16.81640625" bestFit="1" customWidth="1"/>
  </cols>
  <sheetData>
    <row r="1" spans="1:30" ht="14.5" customHeight="1" x14ac:dyDescent="0.35">
      <c r="A1" s="87" t="s">
        <v>296</v>
      </c>
      <c r="B1" s="88"/>
      <c r="C1" s="88"/>
      <c r="D1" s="88"/>
      <c r="E1" s="88"/>
      <c r="F1" s="89"/>
      <c r="I1" s="87" t="s">
        <v>297</v>
      </c>
      <c r="J1" s="88"/>
      <c r="K1" s="88"/>
      <c r="L1" s="88"/>
      <c r="M1" s="88"/>
      <c r="N1" s="89"/>
      <c r="Q1" s="108" t="s">
        <v>298</v>
      </c>
      <c r="R1" s="103"/>
      <c r="S1" s="103"/>
      <c r="T1" s="103"/>
      <c r="U1" s="103"/>
      <c r="V1" s="104"/>
      <c r="Y1" s="87" t="s">
        <v>299</v>
      </c>
      <c r="Z1" s="88"/>
      <c r="AA1" s="88"/>
      <c r="AB1" s="88"/>
      <c r="AC1" s="88"/>
      <c r="AD1" s="89"/>
    </row>
    <row r="2" spans="1:30" ht="14.5" customHeight="1" x14ac:dyDescent="0.35">
      <c r="A2" s="90"/>
      <c r="B2" s="91"/>
      <c r="C2" s="91"/>
      <c r="D2" s="91"/>
      <c r="E2" s="91"/>
      <c r="F2" s="92"/>
      <c r="I2" s="90"/>
      <c r="J2" s="91"/>
      <c r="K2" s="91"/>
      <c r="L2" s="91"/>
      <c r="M2" s="91"/>
      <c r="N2" s="92"/>
      <c r="Q2" s="105"/>
      <c r="R2" s="106"/>
      <c r="S2" s="106"/>
      <c r="T2" s="106"/>
      <c r="U2" s="106"/>
      <c r="V2" s="107"/>
      <c r="Y2" s="90"/>
      <c r="Z2" s="91"/>
      <c r="AA2" s="91"/>
      <c r="AB2" s="91"/>
      <c r="AC2" s="91"/>
      <c r="AD2" s="92"/>
    </row>
    <row r="3" spans="1:30" x14ac:dyDescent="0.35">
      <c r="A3" s="93"/>
      <c r="B3" s="94"/>
      <c r="C3" s="94"/>
      <c r="D3" s="94"/>
      <c r="E3" s="94"/>
      <c r="F3" s="95"/>
      <c r="I3" s="93"/>
      <c r="J3" s="94"/>
      <c r="K3" s="94"/>
      <c r="L3" s="94"/>
      <c r="M3" s="94"/>
      <c r="N3" s="95"/>
      <c r="Q3" s="93"/>
      <c r="R3" s="94"/>
      <c r="S3" s="94"/>
      <c r="T3" s="94"/>
      <c r="U3" s="94"/>
      <c r="V3" s="95"/>
      <c r="Y3" s="93"/>
      <c r="Z3" s="94"/>
      <c r="AA3" s="94"/>
      <c r="AB3" s="94"/>
      <c r="AC3" s="94"/>
      <c r="AD3" s="95"/>
    </row>
    <row r="4" spans="1:30" x14ac:dyDescent="0.35">
      <c r="A4" s="93"/>
      <c r="B4" s="94"/>
      <c r="C4" s="94"/>
      <c r="D4" s="94"/>
      <c r="E4" s="94"/>
      <c r="F4" s="95"/>
      <c r="I4" s="93"/>
      <c r="J4" s="94"/>
      <c r="K4" s="94"/>
      <c r="L4" s="94"/>
      <c r="M4" s="94"/>
      <c r="N4" s="95"/>
      <c r="Q4" s="93"/>
      <c r="R4" s="94"/>
      <c r="S4" s="94"/>
      <c r="T4" s="94"/>
      <c r="U4" s="94"/>
      <c r="V4" s="95"/>
      <c r="Y4" s="93"/>
      <c r="Z4" s="94"/>
      <c r="AA4" s="94"/>
      <c r="AB4" s="94"/>
      <c r="AC4" s="94"/>
      <c r="AD4" s="95"/>
    </row>
    <row r="5" spans="1:30" x14ac:dyDescent="0.35">
      <c r="A5" s="96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97" t="s">
        <v>286</v>
      </c>
      <c r="I5" s="96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97" t="s">
        <v>286</v>
      </c>
      <c r="Q5" s="96" t="s">
        <v>210</v>
      </c>
      <c r="R5" s="85" t="s">
        <v>213</v>
      </c>
      <c r="S5" s="85" t="s">
        <v>217</v>
      </c>
      <c r="T5" s="85" t="s">
        <v>221</v>
      </c>
      <c r="U5" s="85" t="s">
        <v>225</v>
      </c>
      <c r="V5" s="97" t="s">
        <v>286</v>
      </c>
      <c r="Y5" s="96" t="s">
        <v>210</v>
      </c>
      <c r="Z5" s="85" t="s">
        <v>213</v>
      </c>
      <c r="AA5" s="85" t="s">
        <v>217</v>
      </c>
      <c r="AB5" s="85" t="s">
        <v>221</v>
      </c>
      <c r="AC5" s="85" t="s">
        <v>225</v>
      </c>
      <c r="AD5" s="97" t="s">
        <v>286</v>
      </c>
    </row>
    <row r="6" spans="1:30" x14ac:dyDescent="0.35">
      <c r="A6" s="98" t="str">
        <f>IF('Skill Index'!AF4=10,'Skill Index'!A4,"")</f>
        <v/>
      </c>
      <c r="B6" s="1" t="str">
        <f>IF('Skill Index'!AF4=9,'Skill Index'!A4,"")</f>
        <v/>
      </c>
      <c r="C6" s="1" t="str">
        <f>IF('Skill Index'!AF4=8,'Skill Index'!A4,"")</f>
        <v/>
      </c>
      <c r="D6" s="1" t="str">
        <f>IF('Skill Index'!AF4=7,'Skill Index'!A4,"")</f>
        <v/>
      </c>
      <c r="E6" s="1" t="str">
        <f>IF('Skill Index'!AF4=6,'Skill Index'!A4,"")</f>
        <v/>
      </c>
      <c r="F6" s="99" t="str">
        <f>IF('Skill Index'!AF4&lt;6,'Skill Index'!A4,"")</f>
        <v>Ankit Rajput</v>
      </c>
      <c r="I6" s="98" t="str">
        <f>IF('Skill Index'!AG4=10,'Skill Index'!A4,"")</f>
        <v/>
      </c>
      <c r="J6" s="1" t="str">
        <f>IF('Skill Index'!AG4=9,'Skill Index'!A4,"")</f>
        <v/>
      </c>
      <c r="K6" s="1" t="str">
        <f>IF('Skill Index'!AG4=8,'Skill Index'!A4,"")</f>
        <v/>
      </c>
      <c r="L6" s="1" t="str">
        <f>IF('Skill Index'!AG4=7,'Skill Index'!A4,"")</f>
        <v/>
      </c>
      <c r="M6" s="1" t="str">
        <f>IF('Skill Index'!AG4=6,'Skill Index'!A4,"")</f>
        <v/>
      </c>
      <c r="N6" s="99" t="str">
        <f>IF('Skill Index'!AG4&lt;6,'Skill Index'!A4,"")</f>
        <v>Ankit Rajput</v>
      </c>
      <c r="Q6" s="98" t="str">
        <f>IF('Skill Index'!AH4=10,'Skill Index'!A4,"")</f>
        <v/>
      </c>
      <c r="R6" s="1" t="str">
        <f>IF('Skill Index'!AH4=9,'Skill Index'!A4,"")</f>
        <v/>
      </c>
      <c r="S6" s="1" t="str">
        <f>IF('Skill Index'!AH4=8,'Skill Index'!A4,"")</f>
        <v/>
      </c>
      <c r="T6" s="1" t="str">
        <f>IF('Skill Index'!AH4=7,'Skill Index'!A4,"")</f>
        <v/>
      </c>
      <c r="U6" s="1" t="str">
        <f>IF('Skill Index'!AH4=6,'Skill Index'!A4,"")</f>
        <v/>
      </c>
      <c r="V6" s="99" t="str">
        <f>IF('Skill Index'!AH4&lt;6,'Skill Index'!A4,"")</f>
        <v>Ankit Rajput</v>
      </c>
      <c r="Y6" s="98" t="str">
        <f>IF('Skill Index'!AI4=10,'Skill Index'!A4,"")</f>
        <v/>
      </c>
      <c r="Z6" s="98" t="str">
        <f>IF('Skill Index'!AI4=9,'Skill Index'!A4,"")</f>
        <v/>
      </c>
      <c r="AA6" s="98" t="str">
        <f>IF('Skill Index'!AI4=8,'Skill Index'!A4,"")</f>
        <v/>
      </c>
      <c r="AB6" s="98" t="str">
        <f>IF('Skill Index'!AI4=7,'Skill Index'!A4,"")</f>
        <v/>
      </c>
      <c r="AC6" s="98" t="str">
        <f>IF('Skill Index'!AI4=6,'Skill Index'!A4,"")</f>
        <v/>
      </c>
      <c r="AD6" s="98" t="str">
        <f>IF('Skill Index'!AI4&lt;6,'Skill Index'!A4,"")</f>
        <v>Ankit Rajput</v>
      </c>
    </row>
    <row r="7" spans="1:30" x14ac:dyDescent="0.35">
      <c r="A7" s="98" t="str">
        <f>IF('Skill Index'!AF5=10,'Skill Index'!A5,"")</f>
        <v/>
      </c>
      <c r="B7" s="1" t="str">
        <f>IF('Skill Index'!AF5=9,'Skill Index'!A5,"")</f>
        <v/>
      </c>
      <c r="C7" s="1" t="str">
        <f>IF('Skill Index'!AF5=8,'Skill Index'!A5,"")</f>
        <v/>
      </c>
      <c r="D7" s="1" t="str">
        <f>IF('Skill Index'!AF5=7,'Skill Index'!A5,"")</f>
        <v/>
      </c>
      <c r="E7" s="1" t="str">
        <f>IF('Skill Index'!AF5=6,'Skill Index'!A5,"")</f>
        <v/>
      </c>
      <c r="F7" s="99" t="str">
        <f>IF('Skill Index'!AF5&lt;6,'Skill Index'!A5,"")</f>
        <v>Anusha Gunda</v>
      </c>
      <c r="I7" s="98" t="str">
        <f>IF('Skill Index'!AG5=10,'Skill Index'!A5,"")</f>
        <v/>
      </c>
      <c r="J7" s="1" t="str">
        <f>IF('Skill Index'!AG5=9,'Skill Index'!A5,"")</f>
        <v/>
      </c>
      <c r="K7" s="1" t="str">
        <f>IF('Skill Index'!AG5=8,'Skill Index'!A5,"")</f>
        <v/>
      </c>
      <c r="L7" s="1" t="str">
        <f>IF('Skill Index'!AG5=7,'Skill Index'!A5,"")</f>
        <v/>
      </c>
      <c r="M7" s="1" t="str">
        <f>IF('Skill Index'!AG5=6,'Skill Index'!A5,"")</f>
        <v/>
      </c>
      <c r="N7" s="99" t="str">
        <f>IF('Skill Index'!AG5&lt;6,'Skill Index'!A5,"")</f>
        <v>Anusha Gunda</v>
      </c>
      <c r="Q7" s="98" t="str">
        <f>IF('Skill Index'!AH5=10,'Skill Index'!A5,"")</f>
        <v/>
      </c>
      <c r="R7" s="1" t="str">
        <f>IF('Skill Index'!AH5=9,'Skill Index'!A5,"")</f>
        <v/>
      </c>
      <c r="S7" s="1" t="str">
        <f>IF('Skill Index'!AH5=8,'Skill Index'!A5,"")</f>
        <v/>
      </c>
      <c r="T7" s="1" t="str">
        <f>IF('Skill Index'!AH5=7,'Skill Index'!A5,"")</f>
        <v/>
      </c>
      <c r="U7" s="1" t="str">
        <f>IF('Skill Index'!AH5=6,'Skill Index'!A5,"")</f>
        <v/>
      </c>
      <c r="V7" s="99" t="str">
        <f>IF('Skill Index'!AH5&lt;6,'Skill Index'!A5,"")</f>
        <v>Anusha Gunda</v>
      </c>
      <c r="Y7" s="98" t="str">
        <f>IF('Skill Index'!AI5=10,'Skill Index'!A5,"")</f>
        <v/>
      </c>
      <c r="Z7" s="98" t="str">
        <f>IF('Skill Index'!AI5=9,'Skill Index'!A5,"")</f>
        <v/>
      </c>
      <c r="AA7" s="98" t="str">
        <f>IF('Skill Index'!AI5=8,'Skill Index'!A5,"")</f>
        <v/>
      </c>
      <c r="AB7" s="98" t="str">
        <f>IF('Skill Index'!AI5=7,'Skill Index'!A5,"")</f>
        <v/>
      </c>
      <c r="AC7" s="98" t="str">
        <f>IF('Skill Index'!AI5=6,'Skill Index'!A5,"")</f>
        <v/>
      </c>
      <c r="AD7" s="98" t="str">
        <f>IF('Skill Index'!AI5&lt;6,'Skill Index'!A5,"")</f>
        <v>Anusha Gunda</v>
      </c>
    </row>
    <row r="8" spans="1:30" x14ac:dyDescent="0.35">
      <c r="A8" s="98" t="str">
        <f>IF('Skill Index'!AF6=10,'Skill Index'!A6,"")</f>
        <v/>
      </c>
      <c r="B8" s="1" t="str">
        <f>IF('Skill Index'!AF6=9,'Skill Index'!A6,"")</f>
        <v/>
      </c>
      <c r="C8" s="1" t="str">
        <f>IF('Skill Index'!AF6=8,'Skill Index'!A6,"")</f>
        <v/>
      </c>
      <c r="D8" s="1" t="str">
        <f>IF('Skill Index'!AF6=7,'Skill Index'!A6,"")</f>
        <v/>
      </c>
      <c r="E8" s="1" t="str">
        <f>IF('Skill Index'!AF6=6,'Skill Index'!A6,"")</f>
        <v/>
      </c>
      <c r="F8" s="99" t="str">
        <f>IF('Skill Index'!AF6&lt;6,'Skill Index'!A6,"")</f>
        <v>Arun Kumar</v>
      </c>
      <c r="I8" s="98" t="str">
        <f>IF('Skill Index'!AG6=10,'Skill Index'!A6,"")</f>
        <v/>
      </c>
      <c r="J8" s="1" t="str">
        <f>IF('Skill Index'!AG6=9,'Skill Index'!A6,"")</f>
        <v/>
      </c>
      <c r="K8" s="1" t="str">
        <f>IF('Skill Index'!AG6=8,'Skill Index'!A6,"")</f>
        <v/>
      </c>
      <c r="L8" s="1" t="str">
        <f>IF('Skill Index'!AG6=7,'Skill Index'!A6,"")</f>
        <v/>
      </c>
      <c r="M8" s="1" t="str">
        <f>IF('Skill Index'!AG6=6,'Skill Index'!A6,"")</f>
        <v/>
      </c>
      <c r="N8" s="99" t="str">
        <f>IF('Skill Index'!AG6&lt;6,'Skill Index'!A6,"")</f>
        <v>Arun Kumar</v>
      </c>
      <c r="Q8" s="98" t="str">
        <f>IF('Skill Index'!AH6=10,'Skill Index'!A6,"")</f>
        <v/>
      </c>
      <c r="R8" s="1" t="str">
        <f>IF('Skill Index'!AH6=9,'Skill Index'!A6,"")</f>
        <v/>
      </c>
      <c r="S8" s="1" t="str">
        <f>IF('Skill Index'!AH6=8,'Skill Index'!A6,"")</f>
        <v/>
      </c>
      <c r="T8" s="1" t="str">
        <f>IF('Skill Index'!AH6=7,'Skill Index'!A6,"")</f>
        <v/>
      </c>
      <c r="U8" s="1" t="str">
        <f>IF('Skill Index'!AH6=6,'Skill Index'!A6,"")</f>
        <v/>
      </c>
      <c r="V8" s="99" t="str">
        <f>IF('Skill Index'!AH6&lt;6,'Skill Index'!A6,"")</f>
        <v>Arun Kumar</v>
      </c>
      <c r="Y8" s="98" t="str">
        <f>IF('Skill Index'!AI6=10,'Skill Index'!A6,"")</f>
        <v/>
      </c>
      <c r="Z8" s="98" t="str">
        <f>IF('Skill Index'!AI6=9,'Skill Index'!A6,"")</f>
        <v/>
      </c>
      <c r="AA8" s="98" t="str">
        <f>IF('Skill Index'!AI6=8,'Skill Index'!A6,"")</f>
        <v/>
      </c>
      <c r="AB8" s="98" t="str">
        <f>IF('Skill Index'!AI6=7,'Skill Index'!A6,"")</f>
        <v/>
      </c>
      <c r="AC8" s="98" t="str">
        <f>IF('Skill Index'!AI6=6,'Skill Index'!A6,"")</f>
        <v/>
      </c>
      <c r="AD8" s="98" t="str">
        <f>IF('Skill Index'!AI6&lt;6,'Skill Index'!A6,"")</f>
        <v>Arun Kumar</v>
      </c>
    </row>
    <row r="9" spans="1:30" x14ac:dyDescent="0.35">
      <c r="A9" s="98" t="str">
        <f>IF('Skill Index'!AF7=10,'Skill Index'!A7,"")</f>
        <v/>
      </c>
      <c r="B9" s="1" t="str">
        <f>IF('Skill Index'!AF7=9,'Skill Index'!A7,"")</f>
        <v/>
      </c>
      <c r="C9" s="1" t="str">
        <f>IF('Skill Index'!AF7=8,'Skill Index'!A7,"")</f>
        <v/>
      </c>
      <c r="D9" s="1" t="str">
        <f>IF('Skill Index'!AF7=7,'Skill Index'!A7,"")</f>
        <v/>
      </c>
      <c r="E9" s="1" t="str">
        <f>IF('Skill Index'!AF7=6,'Skill Index'!A7,"")</f>
        <v/>
      </c>
      <c r="F9" s="99" t="str">
        <f>IF('Skill Index'!AF7&lt;6,'Skill Index'!A7,"")</f>
        <v>Ashraya H D</v>
      </c>
      <c r="I9" s="98" t="str">
        <f>IF('Skill Index'!AG7=10,'Skill Index'!A7,"")</f>
        <v/>
      </c>
      <c r="J9" s="1" t="str">
        <f>IF('Skill Index'!AG7=9,'Skill Index'!A7,"")</f>
        <v/>
      </c>
      <c r="K9" s="1" t="str">
        <f>IF('Skill Index'!AG7=8,'Skill Index'!A7,"")</f>
        <v/>
      </c>
      <c r="L9" s="1" t="str">
        <f>IF('Skill Index'!AG7=7,'Skill Index'!A7,"")</f>
        <v/>
      </c>
      <c r="M9" s="1" t="str">
        <f>IF('Skill Index'!AG7=6,'Skill Index'!A7,"")</f>
        <v/>
      </c>
      <c r="N9" s="99" t="str">
        <f>IF('Skill Index'!AG7&lt;6,'Skill Index'!A7,"")</f>
        <v>Ashraya H D</v>
      </c>
      <c r="Q9" s="98" t="str">
        <f>IF('Skill Index'!AH7=10,'Skill Index'!A7,"")</f>
        <v/>
      </c>
      <c r="R9" s="1" t="str">
        <f>IF('Skill Index'!AH7=9,'Skill Index'!A7,"")</f>
        <v/>
      </c>
      <c r="S9" s="1" t="str">
        <f>IF('Skill Index'!AH7=8,'Skill Index'!A7,"")</f>
        <v/>
      </c>
      <c r="T9" s="1" t="str">
        <f>IF('Skill Index'!AH7=7,'Skill Index'!A7,"")</f>
        <v/>
      </c>
      <c r="U9" s="1" t="str">
        <f>IF('Skill Index'!AH7=6,'Skill Index'!A7,"")</f>
        <v/>
      </c>
      <c r="V9" s="99" t="str">
        <f>IF('Skill Index'!AH7&lt;6,'Skill Index'!A7,"")</f>
        <v>Ashraya H D</v>
      </c>
      <c r="Y9" s="98" t="str">
        <f>IF('Skill Index'!AI7=10,'Skill Index'!A7,"")</f>
        <v/>
      </c>
      <c r="Z9" s="98" t="str">
        <f>IF('Skill Index'!AI7=9,'Skill Index'!A7,"")</f>
        <v/>
      </c>
      <c r="AA9" s="98" t="str">
        <f>IF('Skill Index'!AI7=8,'Skill Index'!A7,"")</f>
        <v/>
      </c>
      <c r="AB9" s="98" t="str">
        <f>IF('Skill Index'!AI7=7,'Skill Index'!A7,"")</f>
        <v/>
      </c>
      <c r="AC9" s="98" t="str">
        <f>IF('Skill Index'!AI7=6,'Skill Index'!A7,"")</f>
        <v/>
      </c>
      <c r="AD9" s="98" t="str">
        <f>IF('Skill Index'!AI7&lt;6,'Skill Index'!A7,"")</f>
        <v>Ashraya H D</v>
      </c>
    </row>
    <row r="10" spans="1:30" x14ac:dyDescent="0.35">
      <c r="A10" s="98" t="str">
        <f>IF('Skill Index'!AF8=10,'Skill Index'!A8,"")</f>
        <v/>
      </c>
      <c r="B10" s="1" t="str">
        <f>IF('Skill Index'!AF8=9,'Skill Index'!A8,"")</f>
        <v/>
      </c>
      <c r="C10" s="1" t="str">
        <f>IF('Skill Index'!AF8=8,'Skill Index'!A8,"")</f>
        <v/>
      </c>
      <c r="D10" s="1" t="str">
        <f>IF('Skill Index'!AF8=7,'Skill Index'!A8,"")</f>
        <v/>
      </c>
      <c r="E10" s="1" t="str">
        <f>IF('Skill Index'!AF8=6,'Skill Index'!A8,"")</f>
        <v/>
      </c>
      <c r="F10" s="99" t="str">
        <f>IF('Skill Index'!AF8&lt;6,'Skill Index'!A8,"")</f>
        <v>Jeet Doshi</v>
      </c>
      <c r="I10" s="98" t="str">
        <f>IF('Skill Index'!AG8=10,'Skill Index'!A8,"")</f>
        <v/>
      </c>
      <c r="J10" s="1" t="str">
        <f>IF('Skill Index'!AG8=9,'Skill Index'!A8,"")</f>
        <v/>
      </c>
      <c r="K10" s="1" t="str">
        <f>IF('Skill Index'!AG8=8,'Skill Index'!A8,"")</f>
        <v/>
      </c>
      <c r="L10" s="1" t="str">
        <f>IF('Skill Index'!AG8=7,'Skill Index'!A8,"")</f>
        <v/>
      </c>
      <c r="M10" s="1" t="str">
        <f>IF('Skill Index'!AG8=6,'Skill Index'!A8,"")</f>
        <v/>
      </c>
      <c r="N10" s="99" t="str">
        <f>IF('Skill Index'!AG8&lt;6,'Skill Index'!A8,"")</f>
        <v>Jeet Doshi</v>
      </c>
      <c r="Q10" s="98" t="str">
        <f>IF('Skill Index'!AH8=10,'Skill Index'!A8,"")</f>
        <v/>
      </c>
      <c r="R10" s="1" t="str">
        <f>IF('Skill Index'!AH8=9,'Skill Index'!A8,"")</f>
        <v/>
      </c>
      <c r="S10" s="1" t="str">
        <f>IF('Skill Index'!AH8=8,'Skill Index'!A8,"")</f>
        <v/>
      </c>
      <c r="T10" s="1" t="str">
        <f>IF('Skill Index'!AH8=7,'Skill Index'!A8,"")</f>
        <v/>
      </c>
      <c r="U10" s="1" t="str">
        <f>IF('Skill Index'!AH8=6,'Skill Index'!A8,"")</f>
        <v/>
      </c>
      <c r="V10" s="99" t="str">
        <f>IF('Skill Index'!AH8&lt;6,'Skill Index'!A8,"")</f>
        <v>Jeet Doshi</v>
      </c>
      <c r="Y10" s="98" t="str">
        <f>IF('Skill Index'!AI8=10,'Skill Index'!A8,"")</f>
        <v/>
      </c>
      <c r="Z10" s="98" t="str">
        <f>IF('Skill Index'!AI8=9,'Skill Index'!A8,"")</f>
        <v/>
      </c>
      <c r="AA10" s="98" t="str">
        <f>IF('Skill Index'!AI8=8,'Skill Index'!A8,"")</f>
        <v/>
      </c>
      <c r="AB10" s="98" t="str">
        <f>IF('Skill Index'!AI8=7,'Skill Index'!A8,"")</f>
        <v/>
      </c>
      <c r="AC10" s="98" t="str">
        <f>IF('Skill Index'!AI8=6,'Skill Index'!A8,"")</f>
        <v/>
      </c>
      <c r="AD10" s="98" t="str">
        <f>IF('Skill Index'!AI8&lt;6,'Skill Index'!A8,"")</f>
        <v>Jeet Doshi</v>
      </c>
    </row>
    <row r="11" spans="1:30" x14ac:dyDescent="0.35">
      <c r="A11" s="98" t="str">
        <f>IF('Skill Index'!AF9=10,'Skill Index'!A9,"")</f>
        <v/>
      </c>
      <c r="B11" s="1" t="str">
        <f>IF('Skill Index'!AF9=9,'Skill Index'!A9,"")</f>
        <v/>
      </c>
      <c r="C11" s="1" t="str">
        <f>IF('Skill Index'!AF9=8,'Skill Index'!A9,"")</f>
        <v/>
      </c>
      <c r="D11" s="1" t="str">
        <f>IF('Skill Index'!AF9=7,'Skill Index'!A9,"")</f>
        <v/>
      </c>
      <c r="E11" s="1" t="str">
        <f>IF('Skill Index'!AF9=6,'Skill Index'!A9,"")</f>
        <v/>
      </c>
      <c r="F11" s="99" t="str">
        <f>IF('Skill Index'!AF9&lt;6,'Skill Index'!A9,"")</f>
        <v>Mahesh Kumar</v>
      </c>
      <c r="I11" s="98" t="str">
        <f>IF('Skill Index'!AG9=10,'Skill Index'!A9,"")</f>
        <v/>
      </c>
      <c r="J11" s="1" t="str">
        <f>IF('Skill Index'!AG9=9,'Skill Index'!A9,"")</f>
        <v/>
      </c>
      <c r="K11" s="1" t="str">
        <f>IF('Skill Index'!AG9=8,'Skill Index'!A9,"")</f>
        <v/>
      </c>
      <c r="L11" s="1" t="str">
        <f>IF('Skill Index'!AG9=7,'Skill Index'!A9,"")</f>
        <v/>
      </c>
      <c r="M11" s="1" t="str">
        <f>IF('Skill Index'!AG9=6,'Skill Index'!A9,"")</f>
        <v/>
      </c>
      <c r="N11" s="99" t="str">
        <f>IF('Skill Index'!AG9&lt;6,'Skill Index'!A9,"")</f>
        <v>Mahesh Kumar</v>
      </c>
      <c r="Q11" s="98" t="str">
        <f>IF('Skill Index'!AH9=10,'Skill Index'!A9,"")</f>
        <v/>
      </c>
      <c r="R11" s="1" t="str">
        <f>IF('Skill Index'!AH9=9,'Skill Index'!A9,"")</f>
        <v/>
      </c>
      <c r="S11" s="1" t="str">
        <f>IF('Skill Index'!AH9=8,'Skill Index'!A9,"")</f>
        <v/>
      </c>
      <c r="T11" s="1" t="str">
        <f>IF('Skill Index'!AH9=7,'Skill Index'!A9,"")</f>
        <v/>
      </c>
      <c r="U11" s="1" t="str">
        <f>IF('Skill Index'!AH9=6,'Skill Index'!A9,"")</f>
        <v/>
      </c>
      <c r="V11" s="99" t="str">
        <f>IF('Skill Index'!AH9&lt;6,'Skill Index'!A9,"")</f>
        <v>Mahesh Kumar</v>
      </c>
      <c r="Y11" s="98" t="str">
        <f>IF('Skill Index'!AI9=10,'Skill Index'!A9,"")</f>
        <v/>
      </c>
      <c r="Z11" s="98" t="str">
        <f>IF('Skill Index'!AI9=9,'Skill Index'!A9,"")</f>
        <v/>
      </c>
      <c r="AA11" s="98" t="str">
        <f>IF('Skill Index'!AI9=8,'Skill Index'!A9,"")</f>
        <v/>
      </c>
      <c r="AB11" s="98" t="str">
        <f>IF('Skill Index'!AI9=7,'Skill Index'!A9,"")</f>
        <v/>
      </c>
      <c r="AC11" s="98" t="str">
        <f>IF('Skill Index'!AI9=6,'Skill Index'!A9,"")</f>
        <v/>
      </c>
      <c r="AD11" s="98" t="str">
        <f>IF('Skill Index'!AI9&lt;6,'Skill Index'!A9,"")</f>
        <v>Mahesh Kumar</v>
      </c>
    </row>
    <row r="12" spans="1:30" x14ac:dyDescent="0.35">
      <c r="A12" s="98" t="str">
        <f>IF('Skill Index'!AF10=10,'Skill Index'!A10,"")</f>
        <v/>
      </c>
      <c r="B12" s="1" t="str">
        <f>IF('Skill Index'!AF10=9,'Skill Index'!A10,"")</f>
        <v/>
      </c>
      <c r="C12" s="1" t="str">
        <f>IF('Skill Index'!AF10=8,'Skill Index'!A10,"")</f>
        <v/>
      </c>
      <c r="D12" s="1" t="str">
        <f>IF('Skill Index'!AF10=7,'Skill Index'!A10,"")</f>
        <v/>
      </c>
      <c r="E12" s="1" t="str">
        <f>IF('Skill Index'!AF10=6,'Skill Index'!A10,"")</f>
        <v/>
      </c>
      <c r="F12" s="99" t="str">
        <f>IF('Skill Index'!AF10&lt;6,'Skill Index'!A10,"")</f>
        <v>Nilekha Repaka</v>
      </c>
      <c r="I12" s="98" t="str">
        <f>IF('Skill Index'!AG10=10,'Skill Index'!A10,"")</f>
        <v/>
      </c>
      <c r="J12" s="1" t="str">
        <f>IF('Skill Index'!AG10=9,'Skill Index'!A10,"")</f>
        <v/>
      </c>
      <c r="K12" s="1" t="str">
        <f>IF('Skill Index'!AG10=8,'Skill Index'!A10,"")</f>
        <v/>
      </c>
      <c r="L12" s="1" t="str">
        <f>IF('Skill Index'!AG10=7,'Skill Index'!A10,"")</f>
        <v/>
      </c>
      <c r="M12" s="1" t="str">
        <f>IF('Skill Index'!AG10=6,'Skill Index'!A10,"")</f>
        <v/>
      </c>
      <c r="N12" s="99" t="str">
        <f>IF('Skill Index'!AG10&lt;6,'Skill Index'!A10,"")</f>
        <v>Nilekha Repaka</v>
      </c>
      <c r="Q12" s="98" t="str">
        <f>IF('Skill Index'!AH10=10,'Skill Index'!A10,"")</f>
        <v/>
      </c>
      <c r="R12" s="1" t="str">
        <f>IF('Skill Index'!AH10=9,'Skill Index'!A10,"")</f>
        <v/>
      </c>
      <c r="S12" s="1" t="str">
        <f>IF('Skill Index'!AH10=8,'Skill Index'!A10,"")</f>
        <v/>
      </c>
      <c r="T12" s="1" t="str">
        <f>IF('Skill Index'!AH10=7,'Skill Index'!A10,"")</f>
        <v/>
      </c>
      <c r="U12" s="1" t="str">
        <f>IF('Skill Index'!AH10=6,'Skill Index'!A10,"")</f>
        <v/>
      </c>
      <c r="V12" s="99" t="str">
        <f>IF('Skill Index'!AH10&lt;6,'Skill Index'!A10,"")</f>
        <v>Nilekha Repaka</v>
      </c>
      <c r="Y12" s="98" t="str">
        <f>IF('Skill Index'!AI10=10,'Skill Index'!A10,"")</f>
        <v/>
      </c>
      <c r="Z12" s="98" t="str">
        <f>IF('Skill Index'!AI10=9,'Skill Index'!A10,"")</f>
        <v/>
      </c>
      <c r="AA12" s="98" t="str">
        <f>IF('Skill Index'!AI10=8,'Skill Index'!A10,"")</f>
        <v/>
      </c>
      <c r="AB12" s="98" t="str">
        <f>IF('Skill Index'!AI10=7,'Skill Index'!A10,"")</f>
        <v/>
      </c>
      <c r="AC12" s="98" t="str">
        <f>IF('Skill Index'!AI10=6,'Skill Index'!A10,"")</f>
        <v/>
      </c>
      <c r="AD12" s="98" t="str">
        <f>IF('Skill Index'!AI10&lt;6,'Skill Index'!A10,"")</f>
        <v>Nilekha Repaka</v>
      </c>
    </row>
    <row r="13" spans="1:30" x14ac:dyDescent="0.35">
      <c r="A13" s="98" t="str">
        <f>IF('Skill Index'!AF11=10,'Skill Index'!A11,"")</f>
        <v/>
      </c>
      <c r="B13" s="1" t="str">
        <f>IF('Skill Index'!AF11=9,'Skill Index'!A11,"")</f>
        <v/>
      </c>
      <c r="C13" s="1" t="str">
        <f>IF('Skill Index'!AF11=8,'Skill Index'!A11,"")</f>
        <v/>
      </c>
      <c r="D13" s="1" t="str">
        <f>IF('Skill Index'!AF11=7,'Skill Index'!A11,"")</f>
        <v>Pawan Rathore</v>
      </c>
      <c r="E13" s="1" t="str">
        <f>IF('Skill Index'!AF11=6,'Skill Index'!A11,"")</f>
        <v/>
      </c>
      <c r="F13" s="99" t="str">
        <f>IF('Skill Index'!AF11&lt;6,'Skill Index'!A11,"")</f>
        <v/>
      </c>
      <c r="I13" s="98" t="str">
        <f>IF('Skill Index'!AG11=10,'Skill Index'!A11,"")</f>
        <v/>
      </c>
      <c r="J13" s="1" t="str">
        <f>IF('Skill Index'!AG11=9,'Skill Index'!A11,"")</f>
        <v/>
      </c>
      <c r="K13" s="1" t="str">
        <f>IF('Skill Index'!AG11=8,'Skill Index'!A11,"")</f>
        <v/>
      </c>
      <c r="L13" s="1" t="str">
        <f>IF('Skill Index'!AG11=7,'Skill Index'!A11,"")</f>
        <v>Pawan Rathore</v>
      </c>
      <c r="M13" s="1" t="str">
        <f>IF('Skill Index'!AG11=6,'Skill Index'!A11,"")</f>
        <v/>
      </c>
      <c r="N13" s="99" t="str">
        <f>IF('Skill Index'!AG11&lt;6,'Skill Index'!A11,"")</f>
        <v/>
      </c>
      <c r="Q13" s="98" t="str">
        <f>IF('Skill Index'!AH11=10,'Skill Index'!A11,"")</f>
        <v/>
      </c>
      <c r="R13" s="1" t="str">
        <f>IF('Skill Index'!AH11=9,'Skill Index'!A11,"")</f>
        <v/>
      </c>
      <c r="S13" s="1" t="str">
        <f>IF('Skill Index'!AH11=8,'Skill Index'!A11,"")</f>
        <v/>
      </c>
      <c r="T13" s="1" t="str">
        <f>IF('Skill Index'!AH11=7,'Skill Index'!A11,"")</f>
        <v>Pawan Rathore</v>
      </c>
      <c r="U13" s="1" t="str">
        <f>IF('Skill Index'!AH11=6,'Skill Index'!A11,"")</f>
        <v/>
      </c>
      <c r="V13" s="99" t="str">
        <f>IF('Skill Index'!AH11&lt;6,'Skill Index'!A11,"")</f>
        <v/>
      </c>
      <c r="Y13" s="98" t="str">
        <f>IF('Skill Index'!AI11=10,'Skill Index'!A11,"")</f>
        <v/>
      </c>
      <c r="Z13" s="98" t="str">
        <f>IF('Skill Index'!AI11=9,'Skill Index'!A11,"")</f>
        <v/>
      </c>
      <c r="AA13" s="98" t="str">
        <f>IF('Skill Index'!AI11=8,'Skill Index'!A11,"")</f>
        <v/>
      </c>
      <c r="AB13" s="98" t="str">
        <f>IF('Skill Index'!AI11=7,'Skill Index'!A11,"")</f>
        <v>Pawan Rathore</v>
      </c>
      <c r="AC13" s="98" t="str">
        <f>IF('Skill Index'!AI11=6,'Skill Index'!A11,"")</f>
        <v/>
      </c>
      <c r="AD13" s="98" t="str">
        <f>IF('Skill Index'!AI11&lt;6,'Skill Index'!A11,"")</f>
        <v/>
      </c>
    </row>
    <row r="14" spans="1:30" x14ac:dyDescent="0.35">
      <c r="A14" s="98" t="str">
        <f>IF('Skill Index'!AF12=10,'Skill Index'!A12,"")</f>
        <v/>
      </c>
      <c r="B14" s="1" t="str">
        <f>IF('Skill Index'!AF12=9,'Skill Index'!A12,"")</f>
        <v/>
      </c>
      <c r="C14" s="1" t="str">
        <f>IF('Skill Index'!AF12=8,'Skill Index'!A12,"")</f>
        <v/>
      </c>
      <c r="D14" s="1" t="str">
        <f>IF('Skill Index'!AF12=7,'Skill Index'!A12,"")</f>
        <v/>
      </c>
      <c r="E14" s="1" t="str">
        <f>IF('Skill Index'!AF12=6,'Skill Index'!A12,"")</f>
        <v/>
      </c>
      <c r="F14" s="99" t="str">
        <f>IF('Skill Index'!AF12&lt;6,'Skill Index'!A12,"")</f>
        <v>Priyesh Tiwari</v>
      </c>
      <c r="I14" s="98" t="str">
        <f>IF('Skill Index'!AG12=10,'Skill Index'!A12,"")</f>
        <v/>
      </c>
      <c r="J14" s="1" t="str">
        <f>IF('Skill Index'!AG12=9,'Skill Index'!A12,"")</f>
        <v/>
      </c>
      <c r="K14" s="1" t="str">
        <f>IF('Skill Index'!AG12=8,'Skill Index'!A12,"")</f>
        <v/>
      </c>
      <c r="L14" s="1" t="str">
        <f>IF('Skill Index'!AG12=7,'Skill Index'!A12,"")</f>
        <v/>
      </c>
      <c r="M14" s="1" t="str">
        <f>IF('Skill Index'!AG12=6,'Skill Index'!A12,"")</f>
        <v/>
      </c>
      <c r="N14" s="99" t="str">
        <f>IF('Skill Index'!AG12&lt;6,'Skill Index'!A12,"")</f>
        <v>Priyesh Tiwari</v>
      </c>
      <c r="Q14" s="98" t="str">
        <f>IF('Skill Index'!AH12=10,'Skill Index'!A12,"")</f>
        <v/>
      </c>
      <c r="R14" s="1" t="str">
        <f>IF('Skill Index'!AH12=9,'Skill Index'!A12,"")</f>
        <v/>
      </c>
      <c r="S14" s="1" t="str">
        <f>IF('Skill Index'!AH12=8,'Skill Index'!A12,"")</f>
        <v/>
      </c>
      <c r="T14" s="1" t="str">
        <f>IF('Skill Index'!AH12=7,'Skill Index'!A12,"")</f>
        <v/>
      </c>
      <c r="U14" s="1" t="str">
        <f>IF('Skill Index'!AH12=6,'Skill Index'!A12,"")</f>
        <v/>
      </c>
      <c r="V14" s="99" t="str">
        <f>IF('Skill Index'!AH12&lt;6,'Skill Index'!A12,"")</f>
        <v>Priyesh Tiwari</v>
      </c>
      <c r="Y14" s="98" t="str">
        <f>IF('Skill Index'!AI12=10,'Skill Index'!A12,"")</f>
        <v/>
      </c>
      <c r="Z14" s="98" t="str">
        <f>IF('Skill Index'!AI12=9,'Skill Index'!A12,"")</f>
        <v/>
      </c>
      <c r="AA14" s="98" t="str">
        <f>IF('Skill Index'!AI12=8,'Skill Index'!A12,"")</f>
        <v/>
      </c>
      <c r="AB14" s="98" t="str">
        <f>IF('Skill Index'!AI12=7,'Skill Index'!A12,"")</f>
        <v/>
      </c>
      <c r="AC14" s="98" t="str">
        <f>IF('Skill Index'!AI12=6,'Skill Index'!A12,"")</f>
        <v/>
      </c>
      <c r="AD14" s="98" t="str">
        <f>IF('Skill Index'!AI12&lt;6,'Skill Index'!A12,"")</f>
        <v>Priyesh Tiwari</v>
      </c>
    </row>
    <row r="15" spans="1:30" x14ac:dyDescent="0.35">
      <c r="A15" s="98" t="str">
        <f>IF('Skill Index'!AF13=10,'Skill Index'!A13,"")</f>
        <v/>
      </c>
      <c r="B15" s="1" t="str">
        <f>IF('Skill Index'!AF13=9,'Skill Index'!A13,"")</f>
        <v/>
      </c>
      <c r="C15" s="1" t="str">
        <f>IF('Skill Index'!AF13=8,'Skill Index'!A13,"")</f>
        <v/>
      </c>
      <c r="D15" s="1" t="str">
        <f>IF('Skill Index'!AF13=7,'Skill Index'!A13,"")</f>
        <v/>
      </c>
      <c r="E15" s="1" t="str">
        <f>IF('Skill Index'!AF13=6,'Skill Index'!A13,"")</f>
        <v/>
      </c>
      <c r="F15" s="99" t="str">
        <f>IF('Skill Index'!AF13&lt;6,'Skill Index'!A13,"")</f>
        <v>Rahul Kumar</v>
      </c>
      <c r="I15" s="98" t="str">
        <f>IF('Skill Index'!AG13=10,'Skill Index'!A13,"")</f>
        <v/>
      </c>
      <c r="J15" s="1" t="str">
        <f>IF('Skill Index'!AG13=9,'Skill Index'!A13,"")</f>
        <v/>
      </c>
      <c r="K15" s="1" t="str">
        <f>IF('Skill Index'!AG13=8,'Skill Index'!A13,"")</f>
        <v/>
      </c>
      <c r="L15" s="1" t="str">
        <f>IF('Skill Index'!AG13=7,'Skill Index'!A13,"")</f>
        <v/>
      </c>
      <c r="M15" s="1" t="str">
        <f>IF('Skill Index'!AG13=6,'Skill Index'!A13,"")</f>
        <v/>
      </c>
      <c r="N15" s="99" t="str">
        <f>IF('Skill Index'!AG13&lt;6,'Skill Index'!A13,"")</f>
        <v>Rahul Kumar</v>
      </c>
      <c r="Q15" s="98" t="str">
        <f>IF('Skill Index'!AH13=10,'Skill Index'!A13,"")</f>
        <v/>
      </c>
      <c r="R15" s="1" t="str">
        <f>IF('Skill Index'!AH13=9,'Skill Index'!A13,"")</f>
        <v/>
      </c>
      <c r="S15" s="1" t="str">
        <f>IF('Skill Index'!AH13=8,'Skill Index'!A13,"")</f>
        <v/>
      </c>
      <c r="T15" s="1" t="str">
        <f>IF('Skill Index'!AH13=7,'Skill Index'!A13,"")</f>
        <v/>
      </c>
      <c r="U15" s="1" t="str">
        <f>IF('Skill Index'!AH13=6,'Skill Index'!A13,"")</f>
        <v/>
      </c>
      <c r="V15" s="99" t="str">
        <f>IF('Skill Index'!AH13&lt;6,'Skill Index'!A13,"")</f>
        <v>Rahul Kumar</v>
      </c>
      <c r="Y15" s="98" t="str">
        <f>IF('Skill Index'!AI13=10,'Skill Index'!A13,"")</f>
        <v/>
      </c>
      <c r="Z15" s="98" t="str">
        <f>IF('Skill Index'!AI13=9,'Skill Index'!A13,"")</f>
        <v/>
      </c>
      <c r="AA15" s="98" t="str">
        <f>IF('Skill Index'!AI13=8,'Skill Index'!A13,"")</f>
        <v/>
      </c>
      <c r="AB15" s="98" t="str">
        <f>IF('Skill Index'!AI13=7,'Skill Index'!A13,"")</f>
        <v/>
      </c>
      <c r="AC15" s="98" t="str">
        <f>IF('Skill Index'!AI13=6,'Skill Index'!A13,"")</f>
        <v/>
      </c>
      <c r="AD15" s="98" t="str">
        <f>IF('Skill Index'!AI13&lt;6,'Skill Index'!A13,"")</f>
        <v>Rahul Kumar</v>
      </c>
    </row>
    <row r="16" spans="1:30" x14ac:dyDescent="0.35">
      <c r="A16" s="98" t="str">
        <f>IF('Skill Index'!AF14=10,'Skill Index'!A14,"")</f>
        <v/>
      </c>
      <c r="B16" s="1" t="str">
        <f>IF('Skill Index'!AF14=9,'Skill Index'!A14,"")</f>
        <v/>
      </c>
      <c r="C16" s="1" t="str">
        <f>IF('Skill Index'!AF14=8,'Skill Index'!A14,"")</f>
        <v/>
      </c>
      <c r="D16" s="1" t="str">
        <f>IF('Skill Index'!AF14=7,'Skill Index'!A14,"")</f>
        <v/>
      </c>
      <c r="E16" s="1" t="str">
        <f>IF('Skill Index'!AF14=6,'Skill Index'!A14,"")</f>
        <v/>
      </c>
      <c r="F16" s="99" t="str">
        <f>IF('Skill Index'!AF14&lt;6,'Skill Index'!A14,"")</f>
        <v>Ramkrishna Kadiya</v>
      </c>
      <c r="I16" s="98" t="str">
        <f>IF('Skill Index'!AG14=10,'Skill Index'!A14,"")</f>
        <v/>
      </c>
      <c r="J16" s="1" t="str">
        <f>IF('Skill Index'!AG14=9,'Skill Index'!A14,"")</f>
        <v/>
      </c>
      <c r="K16" s="1" t="str">
        <f>IF('Skill Index'!AG14=8,'Skill Index'!A14,"")</f>
        <v/>
      </c>
      <c r="L16" s="1" t="str">
        <f>IF('Skill Index'!AG14=7,'Skill Index'!A14,"")</f>
        <v/>
      </c>
      <c r="M16" s="1" t="str">
        <f>IF('Skill Index'!AG14=6,'Skill Index'!A14,"")</f>
        <v/>
      </c>
      <c r="N16" s="99" t="str">
        <f>IF('Skill Index'!AG14&lt;6,'Skill Index'!A14,"")</f>
        <v>Ramkrishna Kadiya</v>
      </c>
      <c r="Q16" s="98" t="str">
        <f>IF('Skill Index'!AH14=10,'Skill Index'!A14,"")</f>
        <v/>
      </c>
      <c r="R16" s="1" t="str">
        <f>IF('Skill Index'!AH14=9,'Skill Index'!A14,"")</f>
        <v/>
      </c>
      <c r="S16" s="1" t="str">
        <f>IF('Skill Index'!AH14=8,'Skill Index'!A14,"")</f>
        <v/>
      </c>
      <c r="T16" s="1" t="str">
        <f>IF('Skill Index'!AH14=7,'Skill Index'!A14,"")</f>
        <v/>
      </c>
      <c r="U16" s="1" t="str">
        <f>IF('Skill Index'!AH14=6,'Skill Index'!A14,"")</f>
        <v/>
      </c>
      <c r="V16" s="99" t="str">
        <f>IF('Skill Index'!AH14&lt;6,'Skill Index'!A14,"")</f>
        <v>Ramkrishna Kadiya</v>
      </c>
      <c r="Y16" s="98" t="str">
        <f>IF('Skill Index'!AI14=10,'Skill Index'!A14,"")</f>
        <v/>
      </c>
      <c r="Z16" s="98" t="str">
        <f>IF('Skill Index'!AI14=9,'Skill Index'!A14,"")</f>
        <v/>
      </c>
      <c r="AA16" s="98" t="str">
        <f>IF('Skill Index'!AI14=8,'Skill Index'!A14,"")</f>
        <v/>
      </c>
      <c r="AB16" s="98" t="str">
        <f>IF('Skill Index'!AI14=7,'Skill Index'!A14,"")</f>
        <v/>
      </c>
      <c r="AC16" s="98" t="str">
        <f>IF('Skill Index'!AI14=6,'Skill Index'!A14,"")</f>
        <v/>
      </c>
      <c r="AD16" s="98" t="str">
        <f>IF('Skill Index'!AI14&lt;6,'Skill Index'!A14,"")</f>
        <v>Ramkrishna Kadiya</v>
      </c>
    </row>
    <row r="17" spans="1:30" x14ac:dyDescent="0.35">
      <c r="A17" s="98" t="str">
        <f>IF('Skill Index'!AF15=10,'Skill Index'!A15,"")</f>
        <v/>
      </c>
      <c r="B17" s="1" t="str">
        <f>IF('Skill Index'!AF15=9,'Skill Index'!A15,"")</f>
        <v/>
      </c>
      <c r="C17" s="1" t="str">
        <f>IF('Skill Index'!AF15=8,'Skill Index'!A15,"")</f>
        <v/>
      </c>
      <c r="D17" s="1" t="str">
        <f>IF('Skill Index'!AF15=7,'Skill Index'!A15,"")</f>
        <v/>
      </c>
      <c r="E17" s="1" t="str">
        <f>IF('Skill Index'!AF15=6,'Skill Index'!A15,"")</f>
        <v/>
      </c>
      <c r="F17" s="99" t="str">
        <f>IF('Skill Index'!AF15&lt;6,'Skill Index'!A15,"")</f>
        <v>Revanth Anguluri</v>
      </c>
      <c r="I17" s="98" t="str">
        <f>IF('Skill Index'!AG15=10,'Skill Index'!A15,"")</f>
        <v/>
      </c>
      <c r="J17" s="1" t="str">
        <f>IF('Skill Index'!AG15=9,'Skill Index'!A15,"")</f>
        <v/>
      </c>
      <c r="K17" s="1" t="str">
        <f>IF('Skill Index'!AG15=8,'Skill Index'!A15,"")</f>
        <v/>
      </c>
      <c r="L17" s="1" t="str">
        <f>IF('Skill Index'!AG15=7,'Skill Index'!A15,"")</f>
        <v/>
      </c>
      <c r="M17" s="1" t="str">
        <f>IF('Skill Index'!AG15=6,'Skill Index'!A15,"")</f>
        <v/>
      </c>
      <c r="N17" s="99" t="str">
        <f>IF('Skill Index'!AG15&lt;6,'Skill Index'!A15,"")</f>
        <v>Revanth Anguluri</v>
      </c>
      <c r="Q17" s="98" t="str">
        <f>IF('Skill Index'!AH15=10,'Skill Index'!A15,"")</f>
        <v/>
      </c>
      <c r="R17" s="1" t="str">
        <f>IF('Skill Index'!AH15=9,'Skill Index'!A15,"")</f>
        <v/>
      </c>
      <c r="S17" s="1" t="str">
        <f>IF('Skill Index'!AH15=8,'Skill Index'!A15,"")</f>
        <v/>
      </c>
      <c r="T17" s="1" t="str">
        <f>IF('Skill Index'!AH15=7,'Skill Index'!A15,"")</f>
        <v/>
      </c>
      <c r="U17" s="1" t="str">
        <f>IF('Skill Index'!AH15=6,'Skill Index'!A15,"")</f>
        <v/>
      </c>
      <c r="V17" s="99" t="str">
        <f>IF('Skill Index'!AH15&lt;6,'Skill Index'!A15,"")</f>
        <v>Revanth Anguluri</v>
      </c>
      <c r="Y17" s="98" t="str">
        <f>IF('Skill Index'!AI15=10,'Skill Index'!A15,"")</f>
        <v/>
      </c>
      <c r="Z17" s="98" t="str">
        <f>IF('Skill Index'!AI15=9,'Skill Index'!A15,"")</f>
        <v/>
      </c>
      <c r="AA17" s="98" t="str">
        <f>IF('Skill Index'!AI15=8,'Skill Index'!A15,"")</f>
        <v/>
      </c>
      <c r="AB17" s="98" t="str">
        <f>IF('Skill Index'!AI15=7,'Skill Index'!A15,"")</f>
        <v/>
      </c>
      <c r="AC17" s="98" t="str">
        <f>IF('Skill Index'!AI15=6,'Skill Index'!A15,"")</f>
        <v/>
      </c>
      <c r="AD17" s="98" t="str">
        <f>IF('Skill Index'!AI15&lt;6,'Skill Index'!A15,"")</f>
        <v>Revanth Anguluri</v>
      </c>
    </row>
    <row r="18" spans="1:30" x14ac:dyDescent="0.35">
      <c r="A18" s="98" t="str">
        <f>IF('Skill Index'!AF16=10,'Skill Index'!A16,"")</f>
        <v/>
      </c>
      <c r="B18" s="1" t="str">
        <f>IF('Skill Index'!AF16=9,'Skill Index'!A16,"")</f>
        <v/>
      </c>
      <c r="C18" s="1" t="str">
        <f>IF('Skill Index'!AF16=8,'Skill Index'!A16,"")</f>
        <v/>
      </c>
      <c r="D18" s="1" t="str">
        <f>IF('Skill Index'!AF16=7,'Skill Index'!A16,"")</f>
        <v/>
      </c>
      <c r="E18" s="1" t="str">
        <f>IF('Skill Index'!AF16=6,'Skill Index'!A16,"")</f>
        <v/>
      </c>
      <c r="F18" s="99" t="str">
        <f>IF('Skill Index'!AF16&lt;6,'Skill Index'!A16,"")</f>
        <v>Sagar Sable</v>
      </c>
      <c r="I18" s="98" t="str">
        <f>IF('Skill Index'!AG16=10,'Skill Index'!A16,"")</f>
        <v/>
      </c>
      <c r="J18" s="1" t="str">
        <f>IF('Skill Index'!AG16=9,'Skill Index'!A16,"")</f>
        <v/>
      </c>
      <c r="K18" s="1" t="str">
        <f>IF('Skill Index'!AG16=8,'Skill Index'!A16,"")</f>
        <v/>
      </c>
      <c r="L18" s="1" t="str">
        <f>IF('Skill Index'!AG16=7,'Skill Index'!A16,"")</f>
        <v/>
      </c>
      <c r="M18" s="1" t="str">
        <f>IF('Skill Index'!AG16=6,'Skill Index'!A16,"")</f>
        <v/>
      </c>
      <c r="N18" s="99" t="str">
        <f>IF('Skill Index'!AG16&lt;6,'Skill Index'!A16,"")</f>
        <v>Sagar Sable</v>
      </c>
      <c r="Q18" s="98" t="str">
        <f>IF('Skill Index'!AH16=10,'Skill Index'!A16,"")</f>
        <v/>
      </c>
      <c r="R18" s="1" t="str">
        <f>IF('Skill Index'!AH16=9,'Skill Index'!A16,"")</f>
        <v/>
      </c>
      <c r="S18" s="1" t="str">
        <f>IF('Skill Index'!AH16=8,'Skill Index'!A16,"")</f>
        <v/>
      </c>
      <c r="T18" s="1" t="str">
        <f>IF('Skill Index'!AH16=7,'Skill Index'!A16,"")</f>
        <v/>
      </c>
      <c r="U18" s="1" t="str">
        <f>IF('Skill Index'!AH16=6,'Skill Index'!A16,"")</f>
        <v/>
      </c>
      <c r="V18" s="99" t="str">
        <f>IF('Skill Index'!AH16&lt;6,'Skill Index'!A16,"")</f>
        <v>Sagar Sable</v>
      </c>
      <c r="Y18" s="98" t="str">
        <f>IF('Skill Index'!AI16=10,'Skill Index'!A16,"")</f>
        <v/>
      </c>
      <c r="Z18" s="98" t="str">
        <f>IF('Skill Index'!AI16=9,'Skill Index'!A16,"")</f>
        <v/>
      </c>
      <c r="AA18" s="98" t="str">
        <f>IF('Skill Index'!AI16=8,'Skill Index'!A16,"")</f>
        <v/>
      </c>
      <c r="AB18" s="98" t="str">
        <f>IF('Skill Index'!AI16=7,'Skill Index'!A16,"")</f>
        <v/>
      </c>
      <c r="AC18" s="98" t="str">
        <f>IF('Skill Index'!AI16=6,'Skill Index'!A16,"")</f>
        <v/>
      </c>
      <c r="AD18" s="98" t="str">
        <f>IF('Skill Index'!AI16&lt;6,'Skill Index'!A16,"")</f>
        <v>Sagar Sable</v>
      </c>
    </row>
    <row r="19" spans="1:30" x14ac:dyDescent="0.35">
      <c r="A19" s="98" t="str">
        <f>IF('Skill Index'!AF17=10,'Skill Index'!A17,"")</f>
        <v/>
      </c>
      <c r="B19" s="1" t="str">
        <f>IF('Skill Index'!AF17=9,'Skill Index'!A17,"")</f>
        <v/>
      </c>
      <c r="C19" s="1" t="str">
        <f>IF('Skill Index'!AF17=8,'Skill Index'!A17,"")</f>
        <v/>
      </c>
      <c r="D19" s="1" t="str">
        <f>IF('Skill Index'!AF17=7,'Skill Index'!A17,"")</f>
        <v/>
      </c>
      <c r="E19" s="1" t="str">
        <f>IF('Skill Index'!AF17=6,'Skill Index'!A17,"")</f>
        <v/>
      </c>
      <c r="F19" s="99" t="str">
        <f>IF('Skill Index'!AF17&lt;6,'Skill Index'!A17,"")</f>
        <v>Shreya Ramprakash</v>
      </c>
      <c r="I19" s="98" t="str">
        <f>IF('Skill Index'!AG17=10,'Skill Index'!A17,"")</f>
        <v/>
      </c>
      <c r="J19" s="1" t="str">
        <f>IF('Skill Index'!AG17=9,'Skill Index'!A17,"")</f>
        <v/>
      </c>
      <c r="K19" s="1" t="str">
        <f>IF('Skill Index'!AG17=8,'Skill Index'!A17,"")</f>
        <v/>
      </c>
      <c r="L19" s="1" t="str">
        <f>IF('Skill Index'!AG17=7,'Skill Index'!A17,"")</f>
        <v/>
      </c>
      <c r="M19" s="1" t="str">
        <f>IF('Skill Index'!AG17=6,'Skill Index'!A17,"")</f>
        <v/>
      </c>
      <c r="N19" s="99" t="str">
        <f>IF('Skill Index'!AG17&lt;6,'Skill Index'!A17,"")</f>
        <v>Shreya Ramprakash</v>
      </c>
      <c r="Q19" s="98" t="str">
        <f>IF('Skill Index'!AH17=10,'Skill Index'!A17,"")</f>
        <v/>
      </c>
      <c r="R19" s="1" t="str">
        <f>IF('Skill Index'!AH17=9,'Skill Index'!A17,"")</f>
        <v/>
      </c>
      <c r="S19" s="1" t="str">
        <f>IF('Skill Index'!AH17=8,'Skill Index'!A17,"")</f>
        <v/>
      </c>
      <c r="T19" s="1" t="str">
        <f>IF('Skill Index'!AH17=7,'Skill Index'!A17,"")</f>
        <v/>
      </c>
      <c r="U19" s="1" t="str">
        <f>IF('Skill Index'!AH17=6,'Skill Index'!A17,"")</f>
        <v/>
      </c>
      <c r="V19" s="99" t="str">
        <f>IF('Skill Index'!AH17&lt;6,'Skill Index'!A17,"")</f>
        <v>Shreya Ramprakash</v>
      </c>
      <c r="Y19" s="98" t="str">
        <f>IF('Skill Index'!AI17=10,'Skill Index'!A17,"")</f>
        <v/>
      </c>
      <c r="Z19" s="98" t="str">
        <f>IF('Skill Index'!AI17=9,'Skill Index'!A17,"")</f>
        <v/>
      </c>
      <c r="AA19" s="98" t="str">
        <f>IF('Skill Index'!AI17=8,'Skill Index'!A17,"")</f>
        <v/>
      </c>
      <c r="AB19" s="98" t="str">
        <f>IF('Skill Index'!AI17=7,'Skill Index'!A17,"")</f>
        <v/>
      </c>
      <c r="AC19" s="98" t="str">
        <f>IF('Skill Index'!AI17=6,'Skill Index'!A17,"")</f>
        <v/>
      </c>
      <c r="AD19" s="98" t="str">
        <f>IF('Skill Index'!AI17&lt;6,'Skill Index'!A17,"")</f>
        <v>Shreya Ramprakash</v>
      </c>
    </row>
    <row r="20" spans="1:30" x14ac:dyDescent="0.35">
      <c r="A20" s="98" t="str">
        <f>IF('Skill Index'!AF18=10,'Skill Index'!A18,"")</f>
        <v/>
      </c>
      <c r="B20" s="1" t="str">
        <f>IF('Skill Index'!AF18=9,'Skill Index'!A18,"")</f>
        <v/>
      </c>
      <c r="C20" s="1" t="str">
        <f>IF('Skill Index'!AF18=8,'Skill Index'!A18,"")</f>
        <v/>
      </c>
      <c r="D20" s="1" t="str">
        <f>IF('Skill Index'!AF18=7,'Skill Index'!A18,"")</f>
        <v/>
      </c>
      <c r="E20" s="1" t="str">
        <f>IF('Skill Index'!AF18=6,'Skill Index'!A18,"")</f>
        <v/>
      </c>
      <c r="F20" s="99" t="str">
        <f>IF('Skill Index'!AF18&lt;6,'Skill Index'!A18,"")</f>
        <v>Shreyas Risodkar</v>
      </c>
      <c r="I20" s="98" t="str">
        <f>IF('Skill Index'!AG18=10,'Skill Index'!A18,"")</f>
        <v/>
      </c>
      <c r="J20" s="1" t="str">
        <f>IF('Skill Index'!AG18=9,'Skill Index'!A18,"")</f>
        <v/>
      </c>
      <c r="K20" s="1" t="str">
        <f>IF('Skill Index'!AG18=8,'Skill Index'!A18,"")</f>
        <v/>
      </c>
      <c r="L20" s="1" t="str">
        <f>IF('Skill Index'!AG18=7,'Skill Index'!A18,"")</f>
        <v/>
      </c>
      <c r="M20" s="1" t="str">
        <f>IF('Skill Index'!AG18=6,'Skill Index'!A18,"")</f>
        <v/>
      </c>
      <c r="N20" s="99" t="str">
        <f>IF('Skill Index'!AG18&lt;6,'Skill Index'!A18,"")</f>
        <v>Shreyas Risodkar</v>
      </c>
      <c r="Q20" s="98" t="str">
        <f>IF('Skill Index'!AH18=10,'Skill Index'!A18,"")</f>
        <v/>
      </c>
      <c r="R20" s="1" t="str">
        <f>IF('Skill Index'!AH18=9,'Skill Index'!A18,"")</f>
        <v/>
      </c>
      <c r="S20" s="1" t="str">
        <f>IF('Skill Index'!AH18=8,'Skill Index'!A18,"")</f>
        <v/>
      </c>
      <c r="T20" s="1" t="str">
        <f>IF('Skill Index'!AH18=7,'Skill Index'!A18,"")</f>
        <v/>
      </c>
      <c r="U20" s="1" t="str">
        <f>IF('Skill Index'!AH18=6,'Skill Index'!A18,"")</f>
        <v/>
      </c>
      <c r="V20" s="99" t="str">
        <f>IF('Skill Index'!AH18&lt;6,'Skill Index'!A18,"")</f>
        <v>Shreyas Risodkar</v>
      </c>
      <c r="Y20" s="98" t="str">
        <f>IF('Skill Index'!AI18=10,'Skill Index'!A18,"")</f>
        <v/>
      </c>
      <c r="Z20" s="98" t="str">
        <f>IF('Skill Index'!AI18=9,'Skill Index'!A18,"")</f>
        <v/>
      </c>
      <c r="AA20" s="98" t="str">
        <f>IF('Skill Index'!AI18=8,'Skill Index'!A18,"")</f>
        <v/>
      </c>
      <c r="AB20" s="98" t="str">
        <f>IF('Skill Index'!AI18=7,'Skill Index'!A18,"")</f>
        <v/>
      </c>
      <c r="AC20" s="98" t="str">
        <f>IF('Skill Index'!AI18=6,'Skill Index'!A18,"")</f>
        <v/>
      </c>
      <c r="AD20" s="98" t="str">
        <f>IF('Skill Index'!AI18&lt;6,'Skill Index'!A18,"")</f>
        <v>Shreyas Risodkar</v>
      </c>
    </row>
    <row r="21" spans="1:30" x14ac:dyDescent="0.35">
      <c r="A21" s="98" t="str">
        <f>IF('Skill Index'!AF19=10,'Skill Index'!A19,"")</f>
        <v/>
      </c>
      <c r="B21" s="1" t="str">
        <f>IF('Skill Index'!AF19=9,'Skill Index'!A19,"")</f>
        <v/>
      </c>
      <c r="C21" s="1" t="str">
        <f>IF('Skill Index'!AF19=8,'Skill Index'!A19,"")</f>
        <v/>
      </c>
      <c r="D21" s="1" t="str">
        <f>IF('Skill Index'!AF19=7,'Skill Index'!A19,"")</f>
        <v/>
      </c>
      <c r="E21" s="1" t="str">
        <f>IF('Skill Index'!AF19=6,'Skill Index'!A19,"")</f>
        <v>Srikirti Raj</v>
      </c>
      <c r="F21" s="99" t="str">
        <f>IF('Skill Index'!AF19&lt;6,'Skill Index'!A19,"")</f>
        <v/>
      </c>
      <c r="I21" s="98" t="str">
        <f>IF('Skill Index'!AG19=10,'Skill Index'!A19,"")</f>
        <v/>
      </c>
      <c r="J21" s="1" t="str">
        <f>IF('Skill Index'!AG19=9,'Skill Index'!A19,"")</f>
        <v/>
      </c>
      <c r="K21" s="1" t="str">
        <f>IF('Skill Index'!AG19=8,'Skill Index'!A19,"")</f>
        <v/>
      </c>
      <c r="L21" s="1" t="str">
        <f>IF('Skill Index'!AG19=7,'Skill Index'!A19,"")</f>
        <v/>
      </c>
      <c r="M21" s="1" t="str">
        <f>IF('Skill Index'!AG19=6,'Skill Index'!A19,"")</f>
        <v>Srikirti Raj</v>
      </c>
      <c r="N21" s="99" t="str">
        <f>IF('Skill Index'!AG19&lt;6,'Skill Index'!A19,"")</f>
        <v/>
      </c>
      <c r="Q21" s="98" t="str">
        <f>IF('Skill Index'!AH19=10,'Skill Index'!A19,"")</f>
        <v/>
      </c>
      <c r="R21" s="1" t="str">
        <f>IF('Skill Index'!AH19=9,'Skill Index'!A19,"")</f>
        <v/>
      </c>
      <c r="S21" s="1" t="str">
        <f>IF('Skill Index'!AH19=8,'Skill Index'!A19,"")</f>
        <v/>
      </c>
      <c r="T21" s="1" t="str">
        <f>IF('Skill Index'!AH19=7,'Skill Index'!A19,"")</f>
        <v/>
      </c>
      <c r="U21" s="1" t="str">
        <f>IF('Skill Index'!AH19=6,'Skill Index'!A19,"")</f>
        <v>Srikirti Raj</v>
      </c>
      <c r="V21" s="99" t="str">
        <f>IF('Skill Index'!AH19&lt;6,'Skill Index'!A19,"")</f>
        <v/>
      </c>
      <c r="Y21" s="98" t="str">
        <f>IF('Skill Index'!AI19=10,'Skill Index'!A19,"")</f>
        <v/>
      </c>
      <c r="Z21" s="98" t="str">
        <f>IF('Skill Index'!AI19=9,'Skill Index'!A19,"")</f>
        <v/>
      </c>
      <c r="AA21" s="98" t="str">
        <f>IF('Skill Index'!AI19=8,'Skill Index'!A19,"")</f>
        <v/>
      </c>
      <c r="AB21" s="98" t="str">
        <f>IF('Skill Index'!AI19=7,'Skill Index'!A19,"")</f>
        <v/>
      </c>
      <c r="AC21" s="98" t="str">
        <f>IF('Skill Index'!AI19=6,'Skill Index'!A19,"")</f>
        <v/>
      </c>
      <c r="AD21" s="98" t="str">
        <f>IF('Skill Index'!AI19&lt;6,'Skill Index'!A19,"")</f>
        <v>Srikirti Raj</v>
      </c>
    </row>
    <row r="22" spans="1:30" x14ac:dyDescent="0.35">
      <c r="A22" s="98" t="str">
        <f>IF('Skill Index'!AF20=10,'Skill Index'!A20,"")</f>
        <v/>
      </c>
      <c r="B22" s="1" t="str">
        <f>IF('Skill Index'!AF20=9,'Skill Index'!A20,"")</f>
        <v/>
      </c>
      <c r="C22" s="1" t="str">
        <f>IF('Skill Index'!AF20=8,'Skill Index'!A20,"")</f>
        <v/>
      </c>
      <c r="D22" s="1" t="str">
        <f>IF('Skill Index'!AF20=7,'Skill Index'!A20,"")</f>
        <v/>
      </c>
      <c r="E22" s="1" t="str">
        <f>IF('Skill Index'!AF20=6,'Skill Index'!A20,"")</f>
        <v/>
      </c>
      <c r="F22" s="99" t="str">
        <f>IF('Skill Index'!AF20&lt;6,'Skill Index'!A20,"")</f>
        <v>Swetha KJ</v>
      </c>
      <c r="I22" s="98" t="str">
        <f>IF('Skill Index'!AG20=10,'Skill Index'!A20,"")</f>
        <v/>
      </c>
      <c r="J22" s="1" t="str">
        <f>IF('Skill Index'!AG20=9,'Skill Index'!A20,"")</f>
        <v/>
      </c>
      <c r="K22" s="1" t="str">
        <f>IF('Skill Index'!AG20=8,'Skill Index'!A20,"")</f>
        <v/>
      </c>
      <c r="L22" s="1" t="str">
        <f>IF('Skill Index'!AG20=7,'Skill Index'!A20,"")</f>
        <v/>
      </c>
      <c r="M22" s="1" t="str">
        <f>IF('Skill Index'!AG20=6,'Skill Index'!A20,"")</f>
        <v/>
      </c>
      <c r="N22" s="99" t="str">
        <f>IF('Skill Index'!AG20&lt;6,'Skill Index'!A20,"")</f>
        <v>Swetha KJ</v>
      </c>
      <c r="Q22" s="98" t="str">
        <f>IF('Skill Index'!AH20=10,'Skill Index'!A20,"")</f>
        <v/>
      </c>
      <c r="R22" s="1" t="str">
        <f>IF('Skill Index'!AH20=9,'Skill Index'!A20,"")</f>
        <v/>
      </c>
      <c r="S22" s="1" t="str">
        <f>IF('Skill Index'!AH20=8,'Skill Index'!A20,"")</f>
        <v/>
      </c>
      <c r="T22" s="1" t="str">
        <f>IF('Skill Index'!AH20=7,'Skill Index'!A20,"")</f>
        <v/>
      </c>
      <c r="U22" s="1" t="str">
        <f>IF('Skill Index'!AH20=6,'Skill Index'!A20,"")</f>
        <v/>
      </c>
      <c r="V22" s="99" t="str">
        <f>IF('Skill Index'!AH20&lt;6,'Skill Index'!A20,"")</f>
        <v>Swetha KJ</v>
      </c>
      <c r="Y22" s="98" t="str">
        <f>IF('Skill Index'!AI20=10,'Skill Index'!A20,"")</f>
        <v/>
      </c>
      <c r="Z22" s="98" t="str">
        <f>IF('Skill Index'!AI20=9,'Skill Index'!A20,"")</f>
        <v/>
      </c>
      <c r="AA22" s="98" t="str">
        <f>IF('Skill Index'!AI20=8,'Skill Index'!A20,"")</f>
        <v/>
      </c>
      <c r="AB22" s="98" t="str">
        <f>IF('Skill Index'!AI20=7,'Skill Index'!A20,"")</f>
        <v/>
      </c>
      <c r="AC22" s="98" t="str">
        <f>IF('Skill Index'!AI20=6,'Skill Index'!A20,"")</f>
        <v/>
      </c>
      <c r="AD22" s="98" t="str">
        <f>IF('Skill Index'!AI20&lt;6,'Skill Index'!A20,"")</f>
        <v>Swetha KJ</v>
      </c>
    </row>
  </sheetData>
  <mergeCells count="4">
    <mergeCell ref="A1:F2"/>
    <mergeCell ref="I1:N2"/>
    <mergeCell ref="Q1:V2"/>
    <mergeCell ref="Y1:A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B305-1641-425C-899D-B931E1BEEA92}">
  <sheetPr codeName="Sheet32"/>
  <dimension ref="A1:AD22"/>
  <sheetViews>
    <sheetView workbookViewId="0">
      <selection activeCell="F14" sqref="F14"/>
    </sheetView>
  </sheetViews>
  <sheetFormatPr defaultRowHeight="14.5" x14ac:dyDescent="0.35"/>
  <cols>
    <col min="1" max="1" width="13.1796875" customWidth="1"/>
    <col min="2" max="2" width="17.453125" bestFit="1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12.36328125" bestFit="1" customWidth="1"/>
    <col min="11" max="11" width="13.6328125" bestFit="1" customWidth="1"/>
    <col min="12" max="12" width="11" bestFit="1" customWidth="1"/>
    <col min="13" max="13" width="13.36328125" bestFit="1" customWidth="1"/>
    <col min="14" max="14" width="20.1796875" customWidth="1"/>
    <col min="17" max="17" width="17.453125" bestFit="1" customWidth="1"/>
    <col min="19" max="19" width="13.6328125" bestFit="1" customWidth="1"/>
    <col min="20" max="20" width="15.1796875" bestFit="1" customWidth="1"/>
    <col min="21" max="21" width="13.36328125" bestFit="1" customWidth="1"/>
    <col min="22" max="22" width="16.81640625" bestFit="1" customWidth="1"/>
    <col min="26" max="26" width="8.26953125" bestFit="1" customWidth="1"/>
    <col min="27" max="27" width="16.6328125" bestFit="1" customWidth="1"/>
    <col min="28" max="28" width="17.453125" bestFit="1" customWidth="1"/>
    <col min="29" max="29" width="13.36328125" bestFit="1" customWidth="1"/>
    <col min="30" max="30" width="16.81640625" bestFit="1" customWidth="1"/>
  </cols>
  <sheetData>
    <row r="1" spans="1:30" ht="14.5" customHeight="1" x14ac:dyDescent="0.35">
      <c r="A1" s="87" t="s">
        <v>300</v>
      </c>
      <c r="B1" s="88"/>
      <c r="C1" s="88"/>
      <c r="D1" s="88"/>
      <c r="E1" s="88"/>
      <c r="F1" s="89"/>
      <c r="I1" s="87" t="s">
        <v>301</v>
      </c>
      <c r="J1" s="88"/>
      <c r="K1" s="88"/>
      <c r="L1" s="88"/>
      <c r="M1" s="88"/>
      <c r="N1" s="89"/>
      <c r="Q1" s="108" t="s">
        <v>302</v>
      </c>
      <c r="R1" s="103"/>
      <c r="S1" s="103"/>
      <c r="T1" s="103"/>
      <c r="U1" s="103"/>
      <c r="V1" s="104"/>
      <c r="Y1" s="87" t="s">
        <v>303</v>
      </c>
      <c r="Z1" s="88"/>
      <c r="AA1" s="88"/>
      <c r="AB1" s="88"/>
      <c r="AC1" s="88"/>
      <c r="AD1" s="89"/>
    </row>
    <row r="2" spans="1:30" ht="14.5" customHeight="1" x14ac:dyDescent="0.35">
      <c r="A2" s="90"/>
      <c r="B2" s="91"/>
      <c r="C2" s="91"/>
      <c r="D2" s="91"/>
      <c r="E2" s="91"/>
      <c r="F2" s="92"/>
      <c r="I2" s="90"/>
      <c r="J2" s="91"/>
      <c r="K2" s="91"/>
      <c r="L2" s="91"/>
      <c r="M2" s="91"/>
      <c r="N2" s="92"/>
      <c r="Q2" s="105"/>
      <c r="R2" s="106"/>
      <c r="S2" s="106"/>
      <c r="T2" s="106"/>
      <c r="U2" s="106"/>
      <c r="V2" s="107"/>
      <c r="Y2" s="90"/>
      <c r="Z2" s="91"/>
      <c r="AA2" s="91"/>
      <c r="AB2" s="91"/>
      <c r="AC2" s="91"/>
      <c r="AD2" s="92"/>
    </row>
    <row r="3" spans="1:30" x14ac:dyDescent="0.35">
      <c r="A3" s="93"/>
      <c r="B3" s="94"/>
      <c r="C3" s="94"/>
      <c r="D3" s="94"/>
      <c r="E3" s="94"/>
      <c r="F3" s="95"/>
      <c r="I3" s="93"/>
      <c r="J3" s="94"/>
      <c r="K3" s="94"/>
      <c r="L3" s="94"/>
      <c r="M3" s="94"/>
      <c r="N3" s="95"/>
      <c r="Q3" s="93"/>
      <c r="R3" s="94"/>
      <c r="S3" s="94"/>
      <c r="T3" s="94"/>
      <c r="U3" s="94"/>
      <c r="V3" s="95"/>
      <c r="Y3" s="93"/>
      <c r="Z3" s="94"/>
      <c r="AA3" s="94"/>
      <c r="AB3" s="94"/>
      <c r="AC3" s="94"/>
      <c r="AD3" s="95"/>
    </row>
    <row r="4" spans="1:30" x14ac:dyDescent="0.35">
      <c r="A4" s="93"/>
      <c r="B4" s="94"/>
      <c r="C4" s="94"/>
      <c r="D4" s="94"/>
      <c r="E4" s="94"/>
      <c r="F4" s="95"/>
      <c r="I4" s="93"/>
      <c r="J4" s="94"/>
      <c r="K4" s="94"/>
      <c r="L4" s="94"/>
      <c r="M4" s="94"/>
      <c r="N4" s="95"/>
      <c r="Q4" s="93"/>
      <c r="R4" s="94"/>
      <c r="S4" s="94"/>
      <c r="T4" s="94"/>
      <c r="U4" s="94"/>
      <c r="V4" s="95"/>
      <c r="Y4" s="93"/>
      <c r="Z4" s="94"/>
      <c r="AA4" s="94"/>
      <c r="AB4" s="94"/>
      <c r="AC4" s="94"/>
      <c r="AD4" s="95"/>
    </row>
    <row r="5" spans="1:30" x14ac:dyDescent="0.35">
      <c r="A5" s="96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97" t="s">
        <v>286</v>
      </c>
      <c r="I5" s="96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97" t="s">
        <v>286</v>
      </c>
      <c r="Q5" s="96" t="s">
        <v>210</v>
      </c>
      <c r="R5" s="85" t="s">
        <v>213</v>
      </c>
      <c r="S5" s="85" t="s">
        <v>217</v>
      </c>
      <c r="T5" s="85" t="s">
        <v>221</v>
      </c>
      <c r="U5" s="85" t="s">
        <v>225</v>
      </c>
      <c r="V5" s="97" t="s">
        <v>286</v>
      </c>
      <c r="Y5" s="96" t="s">
        <v>210</v>
      </c>
      <c r="Z5" s="85" t="s">
        <v>213</v>
      </c>
      <c r="AA5" s="85" t="s">
        <v>217</v>
      </c>
      <c r="AB5" s="85" t="s">
        <v>221</v>
      </c>
      <c r="AC5" s="85" t="s">
        <v>225</v>
      </c>
      <c r="AD5" s="97" t="s">
        <v>286</v>
      </c>
    </row>
    <row r="6" spans="1:30" x14ac:dyDescent="0.35">
      <c r="A6" s="98" t="str">
        <f>IF('Skill Index'!AJ4=10,'Skill Index'!A4,"")</f>
        <v/>
      </c>
      <c r="B6" s="1" t="str">
        <f>IF('Skill Index'!AJ4=9,'Skill Index'!A4,"")</f>
        <v/>
      </c>
      <c r="C6" s="1" t="str">
        <f>IF('Skill Index'!AJ4=8,'Skill Index'!A4,"")</f>
        <v/>
      </c>
      <c r="D6" s="1" t="str">
        <f>IF('Skill Index'!AJ4=7,'Skill Index'!A4,"")</f>
        <v/>
      </c>
      <c r="E6" s="1" t="str">
        <f>IF('Skill Index'!AJ4=6,'Skill Index'!A4,"")</f>
        <v/>
      </c>
      <c r="F6" s="99" t="str">
        <f>IF('Skill Index'!AJ4&lt;6,'Skill Index'!A4,"")</f>
        <v>Ankit Rajput</v>
      </c>
      <c r="I6" s="98" t="str">
        <f>IF('Skill Index'!AK4=10,'Skill Index'!A4,"")</f>
        <v/>
      </c>
      <c r="J6" s="1" t="str">
        <f>IF('Skill Index'!AK4=9,'Skill Index'!A4,"")</f>
        <v/>
      </c>
      <c r="K6" s="1" t="str">
        <f>IF('Skill Index'!AK4=8,'Skill Index'!A4,"")</f>
        <v/>
      </c>
      <c r="L6" s="1" t="str">
        <f>IF('Skill Index'!AK4=7,'Skill Index'!A4,"")</f>
        <v/>
      </c>
      <c r="M6" s="1" t="str">
        <f>IF('Skill Index'!AK4=6,'Skill Index'!A4,"")</f>
        <v/>
      </c>
      <c r="N6" s="99" t="str">
        <f>IF('Skill Index'!AK4&lt;6,'Skill Index'!A4,"")</f>
        <v>Ankit Rajput</v>
      </c>
      <c r="Q6" s="98" t="str">
        <f>IF('Skill Index'!AL4=10,'Skill Index'!A4,"")</f>
        <v/>
      </c>
      <c r="R6" s="1" t="str">
        <f>IF('Skill Index'!AL4=9,'Skill Index'!A4,"")</f>
        <v/>
      </c>
      <c r="S6" s="1" t="str">
        <f>IF('Skill Index'!AL4=8,'Skill Index'!A4,"")</f>
        <v/>
      </c>
      <c r="T6" s="1" t="str">
        <f>IF('Skill Index'!AL4=7,'Skill Index'!A4,"")</f>
        <v/>
      </c>
      <c r="U6" s="1" t="str">
        <f>IF('Skill Index'!AL4=6,'Skill Index'!A4,"")</f>
        <v/>
      </c>
      <c r="V6" s="99" t="str">
        <f>IF('Skill Index'!AL4&lt;6,'Skill Index'!A4,"")</f>
        <v>Ankit Rajput</v>
      </c>
      <c r="Y6" s="98" t="str">
        <f>IF('Skill Index'!AM4=10,'Skill Index'!A4,"")</f>
        <v/>
      </c>
      <c r="Z6" s="98" t="str">
        <f>IF('Skill Index'!AM4=9,'Skill Index'!A4,"")</f>
        <v/>
      </c>
      <c r="AA6" s="98" t="str">
        <f>IF('Skill Index'!AM4=8,'Skill Index'!A4,"")</f>
        <v/>
      </c>
      <c r="AB6" s="98" t="str">
        <f>IF('Skill Index'!AM4=7,'Skill Index'!A4,"")</f>
        <v/>
      </c>
      <c r="AC6" s="98" t="str">
        <f>IF('Skill Index'!AM4=6,'Skill Index'!A4,"")</f>
        <v/>
      </c>
      <c r="AD6" s="98" t="str">
        <f>IF('Skill Index'!AM4&lt;6,'Skill Index'!A4,"")</f>
        <v>Ankit Rajput</v>
      </c>
    </row>
    <row r="7" spans="1:30" x14ac:dyDescent="0.35">
      <c r="A7" s="98" t="str">
        <f>IF('Skill Index'!AJ5=10,'Skill Index'!A5,"")</f>
        <v/>
      </c>
      <c r="B7" s="1" t="str">
        <f>IF('Skill Index'!AJ5=9,'Skill Index'!A5,"")</f>
        <v/>
      </c>
      <c r="C7" s="1" t="str">
        <f>IF('Skill Index'!AJ5=8,'Skill Index'!A5,"")</f>
        <v/>
      </c>
      <c r="D7" s="1" t="str">
        <f>IF('Skill Index'!AJ5=7,'Skill Index'!A5,"")</f>
        <v/>
      </c>
      <c r="E7" s="1" t="str">
        <f>IF('Skill Index'!AJ5=6,'Skill Index'!A5,"")</f>
        <v/>
      </c>
      <c r="F7" s="99" t="str">
        <f>IF('Skill Index'!AJ5&lt;6,'Skill Index'!A5,"")</f>
        <v>Anusha Gunda</v>
      </c>
      <c r="I7" s="98" t="str">
        <f>IF('Skill Index'!AK5=10,'Skill Index'!A5,"")</f>
        <v/>
      </c>
      <c r="J7" s="1" t="str">
        <f>IF('Skill Index'!AK5=9,'Skill Index'!A5,"")</f>
        <v/>
      </c>
      <c r="K7" s="1" t="str">
        <f>IF('Skill Index'!AK5=8,'Skill Index'!A5,"")</f>
        <v/>
      </c>
      <c r="L7" s="1" t="str">
        <f>IF('Skill Index'!AK5=7,'Skill Index'!A5,"")</f>
        <v/>
      </c>
      <c r="M7" s="1" t="str">
        <f>IF('Skill Index'!AK5=6,'Skill Index'!A5,"")</f>
        <v/>
      </c>
      <c r="N7" s="99" t="str">
        <f>IF('Skill Index'!AK5&lt;6,'Skill Index'!A5,"")</f>
        <v>Anusha Gunda</v>
      </c>
      <c r="Q7" s="98" t="str">
        <f>IF('Skill Index'!AL5=10,'Skill Index'!A5,"")</f>
        <v/>
      </c>
      <c r="R7" s="1" t="str">
        <f>IF('Skill Index'!AL5=9,'Skill Index'!A5,"")</f>
        <v/>
      </c>
      <c r="S7" s="1" t="str">
        <f>IF('Skill Index'!AL5=8,'Skill Index'!A5,"")</f>
        <v/>
      </c>
      <c r="T7" s="1" t="str">
        <f>IF('Skill Index'!AL5=7,'Skill Index'!A5,"")</f>
        <v/>
      </c>
      <c r="U7" s="1" t="str">
        <f>IF('Skill Index'!AL5=6,'Skill Index'!A5,"")</f>
        <v/>
      </c>
      <c r="V7" s="99" t="str">
        <f>IF('Skill Index'!AL5&lt;6,'Skill Index'!A5,"")</f>
        <v>Anusha Gunda</v>
      </c>
      <c r="Y7" s="98" t="str">
        <f>IF('Skill Index'!AM5=10,'Skill Index'!A5,"")</f>
        <v/>
      </c>
      <c r="Z7" s="98" t="str">
        <f>IF('Skill Index'!AM5=9,'Skill Index'!A5,"")</f>
        <v/>
      </c>
      <c r="AA7" s="98" t="str">
        <f>IF('Skill Index'!AM5=8,'Skill Index'!A5,"")</f>
        <v/>
      </c>
      <c r="AB7" s="98" t="str">
        <f>IF('Skill Index'!AM5=7,'Skill Index'!A5,"")</f>
        <v/>
      </c>
      <c r="AC7" s="98" t="str">
        <f>IF('Skill Index'!AM5=6,'Skill Index'!A5,"")</f>
        <v/>
      </c>
      <c r="AD7" s="98" t="str">
        <f>IF('Skill Index'!AM5&lt;6,'Skill Index'!A5,"")</f>
        <v>Anusha Gunda</v>
      </c>
    </row>
    <row r="8" spans="1:30" x14ac:dyDescent="0.35">
      <c r="A8" s="98" t="str">
        <f>IF('Skill Index'!AJ6=10,'Skill Index'!A6,"")</f>
        <v/>
      </c>
      <c r="B8" s="1" t="str">
        <f>IF('Skill Index'!AJ6=9,'Skill Index'!A6,"")</f>
        <v/>
      </c>
      <c r="C8" s="1" t="str">
        <f>IF('Skill Index'!AJ6=8,'Skill Index'!A6,"")</f>
        <v/>
      </c>
      <c r="D8" s="1" t="str">
        <f>IF('Skill Index'!AJ6=7,'Skill Index'!A6,"")</f>
        <v/>
      </c>
      <c r="E8" s="1" t="str">
        <f>IF('Skill Index'!AJ6=6,'Skill Index'!A6,"")</f>
        <v/>
      </c>
      <c r="F8" s="99" t="str">
        <f>IF('Skill Index'!AJ6&lt;6,'Skill Index'!A6,"")</f>
        <v>Arun Kumar</v>
      </c>
      <c r="I8" s="98" t="str">
        <f>IF('Skill Index'!AK6=10,'Skill Index'!A6,"")</f>
        <v/>
      </c>
      <c r="J8" s="1" t="str">
        <f>IF('Skill Index'!AK6=9,'Skill Index'!A6,"")</f>
        <v/>
      </c>
      <c r="K8" s="1" t="str">
        <f>IF('Skill Index'!AK6=8,'Skill Index'!A6,"")</f>
        <v/>
      </c>
      <c r="L8" s="1" t="str">
        <f>IF('Skill Index'!AK6=7,'Skill Index'!A6,"")</f>
        <v/>
      </c>
      <c r="M8" s="1" t="str">
        <f>IF('Skill Index'!AK6=6,'Skill Index'!A6,"")</f>
        <v/>
      </c>
      <c r="N8" s="99" t="str">
        <f>IF('Skill Index'!AK6&lt;6,'Skill Index'!A6,"")</f>
        <v>Arun Kumar</v>
      </c>
      <c r="Q8" s="98" t="str">
        <f>IF('Skill Index'!AL6=10,'Skill Index'!A6,"")</f>
        <v/>
      </c>
      <c r="R8" s="1" t="str">
        <f>IF('Skill Index'!AL6=9,'Skill Index'!A6,"")</f>
        <v/>
      </c>
      <c r="S8" s="1" t="str">
        <f>IF('Skill Index'!AL6=8,'Skill Index'!A6,"")</f>
        <v/>
      </c>
      <c r="T8" s="1" t="str">
        <f>IF('Skill Index'!AL6=7,'Skill Index'!A6,"")</f>
        <v/>
      </c>
      <c r="U8" s="1" t="str">
        <f>IF('Skill Index'!AL6=6,'Skill Index'!A6,"")</f>
        <v/>
      </c>
      <c r="V8" s="99" t="str">
        <f>IF('Skill Index'!AL6&lt;6,'Skill Index'!A6,"")</f>
        <v>Arun Kumar</v>
      </c>
      <c r="Y8" s="98" t="str">
        <f>IF('Skill Index'!AM6=10,'Skill Index'!A6,"")</f>
        <v/>
      </c>
      <c r="Z8" s="98" t="str">
        <f>IF('Skill Index'!AM6=9,'Skill Index'!A6,"")</f>
        <v/>
      </c>
      <c r="AA8" s="98" t="str">
        <f>IF('Skill Index'!AM6=8,'Skill Index'!A6,"")</f>
        <v/>
      </c>
      <c r="AB8" s="98" t="str">
        <f>IF('Skill Index'!AM6=7,'Skill Index'!A6,"")</f>
        <v/>
      </c>
      <c r="AC8" s="98" t="str">
        <f>IF('Skill Index'!AM6=6,'Skill Index'!A6,"")</f>
        <v/>
      </c>
      <c r="AD8" s="98" t="str">
        <f>IF('Skill Index'!AM6&lt;6,'Skill Index'!A6,"")</f>
        <v>Arun Kumar</v>
      </c>
    </row>
    <row r="9" spans="1:30" x14ac:dyDescent="0.35">
      <c r="A9" s="98" t="str">
        <f>IF('Skill Index'!AJ7=10,'Skill Index'!A7,"")</f>
        <v/>
      </c>
      <c r="B9" s="1" t="str">
        <f>IF('Skill Index'!AJ7=9,'Skill Index'!A7,"")</f>
        <v/>
      </c>
      <c r="C9" s="1" t="str">
        <f>IF('Skill Index'!AJ7=8,'Skill Index'!A7,"")</f>
        <v/>
      </c>
      <c r="D9" s="1" t="str">
        <f>IF('Skill Index'!AJ7=7,'Skill Index'!A7,"")</f>
        <v/>
      </c>
      <c r="E9" s="1" t="str">
        <f>IF('Skill Index'!AJ7=6,'Skill Index'!A7,"")</f>
        <v/>
      </c>
      <c r="F9" s="99" t="str">
        <f>IF('Skill Index'!AJ7&lt;6,'Skill Index'!A7,"")</f>
        <v>Ashraya H D</v>
      </c>
      <c r="I9" s="98" t="str">
        <f>IF('Skill Index'!AK7=10,'Skill Index'!A7,"")</f>
        <v/>
      </c>
      <c r="J9" s="1" t="str">
        <f>IF('Skill Index'!AK7=9,'Skill Index'!A7,"")</f>
        <v/>
      </c>
      <c r="K9" s="1" t="str">
        <f>IF('Skill Index'!AK7=8,'Skill Index'!A7,"")</f>
        <v/>
      </c>
      <c r="L9" s="1" t="str">
        <f>IF('Skill Index'!AK7=7,'Skill Index'!A7,"")</f>
        <v/>
      </c>
      <c r="M9" s="1" t="str">
        <f>IF('Skill Index'!AK7=6,'Skill Index'!A7,"")</f>
        <v/>
      </c>
      <c r="N9" s="99" t="str">
        <f>IF('Skill Index'!AK7&lt;6,'Skill Index'!A7,"")</f>
        <v>Ashraya H D</v>
      </c>
      <c r="Q9" s="98" t="str">
        <f>IF('Skill Index'!AL7=10,'Skill Index'!A7,"")</f>
        <v/>
      </c>
      <c r="R9" s="1" t="str">
        <f>IF('Skill Index'!AL7=9,'Skill Index'!A7,"")</f>
        <v/>
      </c>
      <c r="S9" s="1" t="str">
        <f>IF('Skill Index'!AL7=8,'Skill Index'!A7,"")</f>
        <v/>
      </c>
      <c r="T9" s="1" t="str">
        <f>IF('Skill Index'!AL7=7,'Skill Index'!A7,"")</f>
        <v/>
      </c>
      <c r="U9" s="1" t="str">
        <f>IF('Skill Index'!AL7=6,'Skill Index'!A7,"")</f>
        <v/>
      </c>
      <c r="V9" s="99" t="str">
        <f>IF('Skill Index'!AL7&lt;6,'Skill Index'!A7,"")</f>
        <v>Ashraya H D</v>
      </c>
      <c r="Y9" s="98" t="str">
        <f>IF('Skill Index'!AM7=10,'Skill Index'!A7,"")</f>
        <v/>
      </c>
      <c r="Z9" s="98" t="str">
        <f>IF('Skill Index'!AM7=9,'Skill Index'!A7,"")</f>
        <v/>
      </c>
      <c r="AA9" s="98" t="str">
        <f>IF('Skill Index'!AM7=8,'Skill Index'!A7,"")</f>
        <v/>
      </c>
      <c r="AB9" s="98" t="str">
        <f>IF('Skill Index'!AM7=7,'Skill Index'!A7,"")</f>
        <v/>
      </c>
      <c r="AC9" s="98" t="str">
        <f>IF('Skill Index'!AM7=6,'Skill Index'!A7,"")</f>
        <v/>
      </c>
      <c r="AD9" s="98" t="str">
        <f>IF('Skill Index'!AM7&lt;6,'Skill Index'!A7,"")</f>
        <v>Ashraya H D</v>
      </c>
    </row>
    <row r="10" spans="1:30" x14ac:dyDescent="0.35">
      <c r="A10" s="98" t="str">
        <f>IF('Skill Index'!AJ8=10,'Skill Index'!A8,"")</f>
        <v/>
      </c>
      <c r="B10" s="1" t="str">
        <f>IF('Skill Index'!AJ8=9,'Skill Index'!A8,"")</f>
        <v/>
      </c>
      <c r="C10" s="1" t="str">
        <f>IF('Skill Index'!AJ8=8,'Skill Index'!A8,"")</f>
        <v/>
      </c>
      <c r="D10" s="1" t="str">
        <f>IF('Skill Index'!AJ8=7,'Skill Index'!A8,"")</f>
        <v/>
      </c>
      <c r="E10" s="1" t="str">
        <f>IF('Skill Index'!AJ8=6,'Skill Index'!A8,"")</f>
        <v/>
      </c>
      <c r="F10" s="99" t="str">
        <f>IF('Skill Index'!AJ8&lt;6,'Skill Index'!A8,"")</f>
        <v>Jeet Doshi</v>
      </c>
      <c r="I10" s="98" t="str">
        <f>IF('Skill Index'!AK8=10,'Skill Index'!A8,"")</f>
        <v/>
      </c>
      <c r="J10" s="1" t="str">
        <f>IF('Skill Index'!AK8=9,'Skill Index'!A8,"")</f>
        <v/>
      </c>
      <c r="K10" s="1" t="str">
        <f>IF('Skill Index'!AK8=8,'Skill Index'!A8,"")</f>
        <v/>
      </c>
      <c r="L10" s="1" t="str">
        <f>IF('Skill Index'!AK8=7,'Skill Index'!A8,"")</f>
        <v/>
      </c>
      <c r="M10" s="1" t="str">
        <f>IF('Skill Index'!AK8=6,'Skill Index'!A8,"")</f>
        <v/>
      </c>
      <c r="N10" s="99" t="str">
        <f>IF('Skill Index'!AK8&lt;6,'Skill Index'!A8,"")</f>
        <v>Jeet Doshi</v>
      </c>
      <c r="Q10" s="98" t="str">
        <f>IF('Skill Index'!AL8=10,'Skill Index'!A8,"")</f>
        <v/>
      </c>
      <c r="R10" s="1" t="str">
        <f>IF('Skill Index'!AL8=9,'Skill Index'!A8,"")</f>
        <v/>
      </c>
      <c r="S10" s="1" t="str">
        <f>IF('Skill Index'!AL8=8,'Skill Index'!A8,"")</f>
        <v/>
      </c>
      <c r="T10" s="1" t="str">
        <f>IF('Skill Index'!AL8=7,'Skill Index'!A8,"")</f>
        <v/>
      </c>
      <c r="U10" s="1" t="str">
        <f>IF('Skill Index'!AL8=6,'Skill Index'!A8,"")</f>
        <v/>
      </c>
      <c r="V10" s="99" t="str">
        <f>IF('Skill Index'!AL8&lt;6,'Skill Index'!A8,"")</f>
        <v>Jeet Doshi</v>
      </c>
      <c r="Y10" s="98" t="str">
        <f>IF('Skill Index'!AM8=10,'Skill Index'!A8,"")</f>
        <v/>
      </c>
      <c r="Z10" s="98" t="str">
        <f>IF('Skill Index'!AM8=9,'Skill Index'!A8,"")</f>
        <v/>
      </c>
      <c r="AA10" s="98" t="str">
        <f>IF('Skill Index'!AM8=8,'Skill Index'!A8,"")</f>
        <v/>
      </c>
      <c r="AB10" s="98" t="str">
        <f>IF('Skill Index'!AM8=7,'Skill Index'!A8,"")</f>
        <v/>
      </c>
      <c r="AC10" s="98" t="str">
        <f>IF('Skill Index'!AM8=6,'Skill Index'!A8,"")</f>
        <v/>
      </c>
      <c r="AD10" s="98" t="str">
        <f>IF('Skill Index'!AM8&lt;6,'Skill Index'!A8,"")</f>
        <v>Jeet Doshi</v>
      </c>
    </row>
    <row r="11" spans="1:30" x14ac:dyDescent="0.35">
      <c r="A11" s="98" t="str">
        <f>IF('Skill Index'!AJ9=10,'Skill Index'!A9,"")</f>
        <v/>
      </c>
      <c r="B11" s="1" t="str">
        <f>IF('Skill Index'!AJ9=9,'Skill Index'!A9,"")</f>
        <v/>
      </c>
      <c r="C11" s="1" t="str">
        <f>IF('Skill Index'!AJ9=8,'Skill Index'!A9,"")</f>
        <v/>
      </c>
      <c r="D11" s="1" t="str">
        <f>IF('Skill Index'!AJ9=7,'Skill Index'!A9,"")</f>
        <v/>
      </c>
      <c r="E11" s="1" t="str">
        <f>IF('Skill Index'!AJ9=6,'Skill Index'!A9,"")</f>
        <v/>
      </c>
      <c r="F11" s="99" t="str">
        <f>IF('Skill Index'!AJ9&lt;6,'Skill Index'!A9,"")</f>
        <v>Mahesh Kumar</v>
      </c>
      <c r="I11" s="98" t="str">
        <f>IF('Skill Index'!AK9=10,'Skill Index'!A9,"")</f>
        <v/>
      </c>
      <c r="J11" s="1" t="str">
        <f>IF('Skill Index'!AK9=9,'Skill Index'!A9,"")</f>
        <v/>
      </c>
      <c r="K11" s="1" t="str">
        <f>IF('Skill Index'!AK9=8,'Skill Index'!A9,"")</f>
        <v/>
      </c>
      <c r="L11" s="1" t="str">
        <f>IF('Skill Index'!AK9=7,'Skill Index'!A9,"")</f>
        <v/>
      </c>
      <c r="M11" s="1" t="str">
        <f>IF('Skill Index'!AK9=6,'Skill Index'!A9,"")</f>
        <v/>
      </c>
      <c r="N11" s="99" t="str">
        <f>IF('Skill Index'!AK9&lt;6,'Skill Index'!A9,"")</f>
        <v>Mahesh Kumar</v>
      </c>
      <c r="Q11" s="98" t="str">
        <f>IF('Skill Index'!AL9=10,'Skill Index'!A9,"")</f>
        <v/>
      </c>
      <c r="R11" s="1" t="str">
        <f>IF('Skill Index'!AL9=9,'Skill Index'!A9,"")</f>
        <v/>
      </c>
      <c r="S11" s="1" t="str">
        <f>IF('Skill Index'!AL9=8,'Skill Index'!A9,"")</f>
        <v/>
      </c>
      <c r="T11" s="1" t="str">
        <f>IF('Skill Index'!AL9=7,'Skill Index'!A9,"")</f>
        <v/>
      </c>
      <c r="U11" s="1" t="str">
        <f>IF('Skill Index'!AL9=6,'Skill Index'!A9,"")</f>
        <v/>
      </c>
      <c r="V11" s="99" t="str">
        <f>IF('Skill Index'!AL9&lt;6,'Skill Index'!A9,"")</f>
        <v>Mahesh Kumar</v>
      </c>
      <c r="Y11" s="98" t="str">
        <f>IF('Skill Index'!AM9=10,'Skill Index'!A9,"")</f>
        <v/>
      </c>
      <c r="Z11" s="98" t="str">
        <f>IF('Skill Index'!AM9=9,'Skill Index'!A9,"")</f>
        <v/>
      </c>
      <c r="AA11" s="98" t="str">
        <f>IF('Skill Index'!AM9=8,'Skill Index'!A9,"")</f>
        <v/>
      </c>
      <c r="AB11" s="98" t="str">
        <f>IF('Skill Index'!AM9=7,'Skill Index'!A9,"")</f>
        <v/>
      </c>
      <c r="AC11" s="98" t="str">
        <f>IF('Skill Index'!AM9=6,'Skill Index'!A9,"")</f>
        <v/>
      </c>
      <c r="AD11" s="98" t="str">
        <f>IF('Skill Index'!AM9&lt;6,'Skill Index'!A9,"")</f>
        <v>Mahesh Kumar</v>
      </c>
    </row>
    <row r="12" spans="1:30" x14ac:dyDescent="0.35">
      <c r="A12" s="98" t="str">
        <f>IF('Skill Index'!AJ10=10,'Skill Index'!A10,"")</f>
        <v/>
      </c>
      <c r="B12" s="1" t="str">
        <f>IF('Skill Index'!AJ10=9,'Skill Index'!A10,"")</f>
        <v/>
      </c>
      <c r="C12" s="1" t="str">
        <f>IF('Skill Index'!AJ10=8,'Skill Index'!A10,"")</f>
        <v/>
      </c>
      <c r="D12" s="1" t="str">
        <f>IF('Skill Index'!AJ10=7,'Skill Index'!A10,"")</f>
        <v/>
      </c>
      <c r="E12" s="1" t="str">
        <f>IF('Skill Index'!AJ10=6,'Skill Index'!A10,"")</f>
        <v/>
      </c>
      <c r="F12" s="99" t="str">
        <f>IF('Skill Index'!AJ10&lt;6,'Skill Index'!A10,"")</f>
        <v>Nilekha Repaka</v>
      </c>
      <c r="I12" s="98" t="str">
        <f>IF('Skill Index'!AK10=10,'Skill Index'!A10,"")</f>
        <v/>
      </c>
      <c r="J12" s="1" t="str">
        <f>IF('Skill Index'!AK10=9,'Skill Index'!A10,"")</f>
        <v/>
      </c>
      <c r="K12" s="1" t="str">
        <f>IF('Skill Index'!AK10=8,'Skill Index'!A10,"")</f>
        <v/>
      </c>
      <c r="L12" s="1" t="str">
        <f>IF('Skill Index'!AK10=7,'Skill Index'!A10,"")</f>
        <v/>
      </c>
      <c r="M12" s="1" t="str">
        <f>IF('Skill Index'!AK10=6,'Skill Index'!A10,"")</f>
        <v/>
      </c>
      <c r="N12" s="99" t="str">
        <f>IF('Skill Index'!AK10&lt;6,'Skill Index'!A10,"")</f>
        <v>Nilekha Repaka</v>
      </c>
      <c r="Q12" s="98" t="str">
        <f>IF('Skill Index'!AL10=10,'Skill Index'!A10,"")</f>
        <v/>
      </c>
      <c r="R12" s="1" t="str">
        <f>IF('Skill Index'!AL10=9,'Skill Index'!A10,"")</f>
        <v/>
      </c>
      <c r="S12" s="1" t="str">
        <f>IF('Skill Index'!AL10=8,'Skill Index'!A10,"")</f>
        <v/>
      </c>
      <c r="T12" s="1" t="str">
        <f>IF('Skill Index'!AL10=7,'Skill Index'!A10,"")</f>
        <v/>
      </c>
      <c r="U12" s="1" t="str">
        <f>IF('Skill Index'!AL10=6,'Skill Index'!A10,"")</f>
        <v/>
      </c>
      <c r="V12" s="99" t="str">
        <f>IF('Skill Index'!AL10&lt;6,'Skill Index'!A10,"")</f>
        <v>Nilekha Repaka</v>
      </c>
      <c r="Y12" s="98" t="str">
        <f>IF('Skill Index'!AM10=10,'Skill Index'!A10,"")</f>
        <v/>
      </c>
      <c r="Z12" s="98" t="str">
        <f>IF('Skill Index'!AM10=9,'Skill Index'!A10,"")</f>
        <v/>
      </c>
      <c r="AA12" s="98" t="str">
        <f>IF('Skill Index'!AM10=8,'Skill Index'!A10,"")</f>
        <v/>
      </c>
      <c r="AB12" s="98" t="str">
        <f>IF('Skill Index'!AM10=7,'Skill Index'!A10,"")</f>
        <v/>
      </c>
      <c r="AC12" s="98" t="str">
        <f>IF('Skill Index'!AM10=6,'Skill Index'!A10,"")</f>
        <v/>
      </c>
      <c r="AD12" s="98" t="str">
        <f>IF('Skill Index'!AM10&lt;6,'Skill Index'!A10,"")</f>
        <v>Nilekha Repaka</v>
      </c>
    </row>
    <row r="13" spans="1:30" x14ac:dyDescent="0.35">
      <c r="A13" s="98" t="str">
        <f>IF('Skill Index'!AJ11=10,'Skill Index'!A11,"")</f>
        <v/>
      </c>
      <c r="B13" s="1" t="str">
        <f>IF('Skill Index'!AJ11=9,'Skill Index'!A11,"")</f>
        <v/>
      </c>
      <c r="C13" s="1" t="str">
        <f>IF('Skill Index'!AJ11=8,'Skill Index'!A11,"")</f>
        <v/>
      </c>
      <c r="D13" s="1" t="str">
        <f>IF('Skill Index'!AJ11=7,'Skill Index'!A11,"")</f>
        <v>Pawan Rathore</v>
      </c>
      <c r="E13" s="1" t="str">
        <f>IF('Skill Index'!AJ11=6,'Skill Index'!A11,"")</f>
        <v/>
      </c>
      <c r="F13" s="99" t="str">
        <f>IF('Skill Index'!AJ11&lt;6,'Skill Index'!A11,"")</f>
        <v/>
      </c>
      <c r="I13" s="98" t="str">
        <f>IF('Skill Index'!AK11=10,'Skill Index'!A11,"")</f>
        <v/>
      </c>
      <c r="J13" s="1" t="str">
        <f>IF('Skill Index'!AK11=9,'Skill Index'!A11,"")</f>
        <v/>
      </c>
      <c r="K13" s="1" t="str">
        <f>IF('Skill Index'!AK11=8,'Skill Index'!A11,"")</f>
        <v/>
      </c>
      <c r="L13" s="1" t="str">
        <f>IF('Skill Index'!AK11=7,'Skill Index'!A11,"")</f>
        <v>Pawan Rathore</v>
      </c>
      <c r="M13" s="1" t="str">
        <f>IF('Skill Index'!AK11=6,'Skill Index'!A11,"")</f>
        <v/>
      </c>
      <c r="N13" s="99" t="str">
        <f>IF('Skill Index'!AK11&lt;6,'Skill Index'!A11,"")</f>
        <v/>
      </c>
      <c r="Q13" s="98" t="str">
        <f>IF('Skill Index'!AL11=10,'Skill Index'!A11,"")</f>
        <v/>
      </c>
      <c r="R13" s="1" t="str">
        <f>IF('Skill Index'!AL11=9,'Skill Index'!A11,"")</f>
        <v/>
      </c>
      <c r="S13" s="1" t="str">
        <f>IF('Skill Index'!AL11=8,'Skill Index'!A11,"")</f>
        <v/>
      </c>
      <c r="T13" s="1" t="str">
        <f>IF('Skill Index'!AL11=7,'Skill Index'!A11,"")</f>
        <v>Pawan Rathore</v>
      </c>
      <c r="U13" s="1" t="str">
        <f>IF('Skill Index'!AL11=6,'Skill Index'!A11,"")</f>
        <v/>
      </c>
      <c r="V13" s="99" t="str">
        <f>IF('Skill Index'!AL11&lt;6,'Skill Index'!A11,"")</f>
        <v/>
      </c>
      <c r="Y13" s="98" t="str">
        <f>IF('Skill Index'!AM11=10,'Skill Index'!A11,"")</f>
        <v/>
      </c>
      <c r="Z13" s="98" t="str">
        <f>IF('Skill Index'!AM11=9,'Skill Index'!A11,"")</f>
        <v/>
      </c>
      <c r="AA13" s="98" t="str">
        <f>IF('Skill Index'!AM11=8,'Skill Index'!A11,"")</f>
        <v/>
      </c>
      <c r="AB13" s="98" t="str">
        <f>IF('Skill Index'!AM11=7,'Skill Index'!A11,"")</f>
        <v/>
      </c>
      <c r="AC13" s="98" t="str">
        <f>IF('Skill Index'!AM11=6,'Skill Index'!A11,"")</f>
        <v/>
      </c>
      <c r="AD13" s="98" t="str">
        <f>IF('Skill Index'!AM11&lt;6,'Skill Index'!A11,"")</f>
        <v>Pawan Rathore</v>
      </c>
    </row>
    <row r="14" spans="1:30" x14ac:dyDescent="0.35">
      <c r="A14" s="98" t="str">
        <f>IF('Skill Index'!AJ12=10,'Skill Index'!A12,"")</f>
        <v/>
      </c>
      <c r="B14" s="1" t="str">
        <f>IF('Skill Index'!AJ12=9,'Skill Index'!A12,"")</f>
        <v/>
      </c>
      <c r="C14" s="1" t="str">
        <f>IF('Skill Index'!AJ12=8,'Skill Index'!A12,"")</f>
        <v/>
      </c>
      <c r="D14" s="1" t="str">
        <f>IF('Skill Index'!AJ12=7,'Skill Index'!A12,"")</f>
        <v>Priyesh Tiwari</v>
      </c>
      <c r="E14" s="1" t="str">
        <f>IF('Skill Index'!AJ12=6,'Skill Index'!A12,"")</f>
        <v/>
      </c>
      <c r="F14" s="99" t="str">
        <f>IF('Skill Index'!AJ12&lt;6,'Skill Index'!A12,"")</f>
        <v/>
      </c>
      <c r="I14" s="98" t="str">
        <f>IF('Skill Index'!AK12=10,'Skill Index'!A12,"")</f>
        <v/>
      </c>
      <c r="J14" s="1" t="str">
        <f>IF('Skill Index'!AK12=9,'Skill Index'!A12,"")</f>
        <v/>
      </c>
      <c r="K14" s="1" t="str">
        <f>IF('Skill Index'!AK12=8,'Skill Index'!A12,"")</f>
        <v/>
      </c>
      <c r="L14" s="1" t="str">
        <f>IF('Skill Index'!AK12=7,'Skill Index'!A12,"")</f>
        <v/>
      </c>
      <c r="M14" s="1" t="str">
        <f>IF('Skill Index'!AK12=6,'Skill Index'!A12,"")</f>
        <v/>
      </c>
      <c r="N14" s="99" t="str">
        <f>IF('Skill Index'!AK12&lt;6,'Skill Index'!A12,"")</f>
        <v>Priyesh Tiwari</v>
      </c>
      <c r="Q14" s="98" t="str">
        <f>IF('Skill Index'!AL12=10,'Skill Index'!A12,"")</f>
        <v/>
      </c>
      <c r="R14" s="1" t="str">
        <f>IF('Skill Index'!AL12=9,'Skill Index'!A12,"")</f>
        <v/>
      </c>
      <c r="S14" s="1" t="str">
        <f>IF('Skill Index'!AL12=8,'Skill Index'!A12,"")</f>
        <v/>
      </c>
      <c r="T14" s="1" t="str">
        <f>IF('Skill Index'!AL12=7,'Skill Index'!A12,"")</f>
        <v/>
      </c>
      <c r="U14" s="1" t="str">
        <f>IF('Skill Index'!AL12=6,'Skill Index'!A12,"")</f>
        <v/>
      </c>
      <c r="V14" s="99" t="str">
        <f>IF('Skill Index'!AL12&lt;6,'Skill Index'!A12,"")</f>
        <v>Priyesh Tiwari</v>
      </c>
      <c r="Y14" s="98" t="str">
        <f>IF('Skill Index'!AM12=10,'Skill Index'!A12,"")</f>
        <v/>
      </c>
      <c r="Z14" s="98" t="str">
        <f>IF('Skill Index'!AM12=9,'Skill Index'!A12,"")</f>
        <v/>
      </c>
      <c r="AA14" s="98" t="str">
        <f>IF('Skill Index'!AM12=8,'Skill Index'!A12,"")</f>
        <v/>
      </c>
      <c r="AB14" s="98" t="str">
        <f>IF('Skill Index'!AM12=7,'Skill Index'!A12,"")</f>
        <v/>
      </c>
      <c r="AC14" s="98" t="str">
        <f>IF('Skill Index'!AM12=6,'Skill Index'!A12,"")</f>
        <v/>
      </c>
      <c r="AD14" s="98" t="str">
        <f>IF('Skill Index'!AM12&lt;6,'Skill Index'!A12,"")</f>
        <v>Priyesh Tiwari</v>
      </c>
    </row>
    <row r="15" spans="1:30" x14ac:dyDescent="0.35">
      <c r="A15" s="98" t="str">
        <f>IF('Skill Index'!AJ13=10,'Skill Index'!A13,"")</f>
        <v/>
      </c>
      <c r="B15" s="1" t="str">
        <f>IF('Skill Index'!AJ13=9,'Skill Index'!A13,"")</f>
        <v/>
      </c>
      <c r="C15" s="1" t="str">
        <f>IF('Skill Index'!AJ13=8,'Skill Index'!A13,"")</f>
        <v/>
      </c>
      <c r="D15" s="1" t="str">
        <f>IF('Skill Index'!AJ13=7,'Skill Index'!A13,"")</f>
        <v/>
      </c>
      <c r="E15" s="1" t="str">
        <f>IF('Skill Index'!AJ13=6,'Skill Index'!A13,"")</f>
        <v/>
      </c>
      <c r="F15" s="99" t="str">
        <f>IF('Skill Index'!AJ13&lt;6,'Skill Index'!A13,"")</f>
        <v>Rahul Kumar</v>
      </c>
      <c r="I15" s="98" t="str">
        <f>IF('Skill Index'!AK13=10,'Skill Index'!A13,"")</f>
        <v/>
      </c>
      <c r="J15" s="1" t="str">
        <f>IF('Skill Index'!AK13=9,'Skill Index'!A13,"")</f>
        <v/>
      </c>
      <c r="K15" s="1" t="str">
        <f>IF('Skill Index'!AK13=8,'Skill Index'!A13,"")</f>
        <v/>
      </c>
      <c r="L15" s="1" t="str">
        <f>IF('Skill Index'!AK13=7,'Skill Index'!A13,"")</f>
        <v/>
      </c>
      <c r="M15" s="1" t="str">
        <f>IF('Skill Index'!AK13=6,'Skill Index'!A13,"")</f>
        <v/>
      </c>
      <c r="N15" s="99" t="str">
        <f>IF('Skill Index'!AK13&lt;6,'Skill Index'!A13,"")</f>
        <v>Rahul Kumar</v>
      </c>
      <c r="Q15" s="98" t="str">
        <f>IF('Skill Index'!AL13=10,'Skill Index'!A13,"")</f>
        <v/>
      </c>
      <c r="R15" s="1" t="str">
        <f>IF('Skill Index'!AL13=9,'Skill Index'!A13,"")</f>
        <v/>
      </c>
      <c r="S15" s="1" t="str">
        <f>IF('Skill Index'!AL13=8,'Skill Index'!A13,"")</f>
        <v/>
      </c>
      <c r="T15" s="1" t="str">
        <f>IF('Skill Index'!AL13=7,'Skill Index'!A13,"")</f>
        <v/>
      </c>
      <c r="U15" s="1" t="str">
        <f>IF('Skill Index'!AL13=6,'Skill Index'!A13,"")</f>
        <v/>
      </c>
      <c r="V15" s="99" t="str">
        <f>IF('Skill Index'!AL13&lt;6,'Skill Index'!A13,"")</f>
        <v>Rahul Kumar</v>
      </c>
      <c r="Y15" s="98" t="str">
        <f>IF('Skill Index'!AM13=10,'Skill Index'!A13,"")</f>
        <v/>
      </c>
      <c r="Z15" s="98" t="str">
        <f>IF('Skill Index'!AM13=9,'Skill Index'!A13,"")</f>
        <v/>
      </c>
      <c r="AA15" s="98" t="str">
        <f>IF('Skill Index'!AM13=8,'Skill Index'!A13,"")</f>
        <v/>
      </c>
      <c r="AB15" s="98" t="str">
        <f>IF('Skill Index'!AM13=7,'Skill Index'!A13,"")</f>
        <v/>
      </c>
      <c r="AC15" s="98" t="str">
        <f>IF('Skill Index'!AM13=6,'Skill Index'!A13,"")</f>
        <v/>
      </c>
      <c r="AD15" s="98" t="str">
        <f>IF('Skill Index'!AM13&lt;6,'Skill Index'!A13,"")</f>
        <v>Rahul Kumar</v>
      </c>
    </row>
    <row r="16" spans="1:30" x14ac:dyDescent="0.35">
      <c r="A16" s="98" t="str">
        <f>IF('Skill Index'!AJ14=10,'Skill Index'!A14,"")</f>
        <v/>
      </c>
      <c r="B16" s="1" t="str">
        <f>IF('Skill Index'!AJ14=9,'Skill Index'!A14,"")</f>
        <v/>
      </c>
      <c r="C16" s="1" t="str">
        <f>IF('Skill Index'!AJ14=8,'Skill Index'!A14,"")</f>
        <v/>
      </c>
      <c r="D16" s="1" t="str">
        <f>IF('Skill Index'!AJ14=7,'Skill Index'!A14,"")</f>
        <v/>
      </c>
      <c r="E16" s="1" t="str">
        <f>IF('Skill Index'!AJ14=6,'Skill Index'!A14,"")</f>
        <v/>
      </c>
      <c r="F16" s="99" t="str">
        <f>IF('Skill Index'!AJ14&lt;6,'Skill Index'!A14,"")</f>
        <v>Ramkrishna Kadiya</v>
      </c>
      <c r="I16" s="98" t="str">
        <f>IF('Skill Index'!AK14=10,'Skill Index'!A14,"")</f>
        <v/>
      </c>
      <c r="J16" s="1" t="str">
        <f>IF('Skill Index'!AK14=9,'Skill Index'!A14,"")</f>
        <v/>
      </c>
      <c r="K16" s="1" t="str">
        <f>IF('Skill Index'!AK14=8,'Skill Index'!A14,"")</f>
        <v/>
      </c>
      <c r="L16" s="1" t="str">
        <f>IF('Skill Index'!AK14=7,'Skill Index'!A14,"")</f>
        <v/>
      </c>
      <c r="M16" s="1" t="str">
        <f>IF('Skill Index'!AK14=6,'Skill Index'!A14,"")</f>
        <v/>
      </c>
      <c r="N16" s="99" t="str">
        <f>IF('Skill Index'!AK14&lt;6,'Skill Index'!A14,"")</f>
        <v>Ramkrishna Kadiya</v>
      </c>
      <c r="Q16" s="98" t="str">
        <f>IF('Skill Index'!AL14=10,'Skill Index'!A14,"")</f>
        <v/>
      </c>
      <c r="R16" s="1" t="str">
        <f>IF('Skill Index'!AL14=9,'Skill Index'!A14,"")</f>
        <v/>
      </c>
      <c r="S16" s="1" t="str">
        <f>IF('Skill Index'!AL14=8,'Skill Index'!A14,"")</f>
        <v/>
      </c>
      <c r="T16" s="1" t="str">
        <f>IF('Skill Index'!AL14=7,'Skill Index'!A14,"")</f>
        <v/>
      </c>
      <c r="U16" s="1" t="str">
        <f>IF('Skill Index'!AL14=6,'Skill Index'!A14,"")</f>
        <v/>
      </c>
      <c r="V16" s="99" t="str">
        <f>IF('Skill Index'!AL14&lt;6,'Skill Index'!A14,"")</f>
        <v>Ramkrishna Kadiya</v>
      </c>
      <c r="Y16" s="98" t="str">
        <f>IF('Skill Index'!AM14=10,'Skill Index'!A14,"")</f>
        <v/>
      </c>
      <c r="Z16" s="98" t="str">
        <f>IF('Skill Index'!AM14=9,'Skill Index'!A14,"")</f>
        <v/>
      </c>
      <c r="AA16" s="98" t="str">
        <f>IF('Skill Index'!AM14=8,'Skill Index'!A14,"")</f>
        <v/>
      </c>
      <c r="AB16" s="98" t="str">
        <f>IF('Skill Index'!AM14=7,'Skill Index'!A14,"")</f>
        <v/>
      </c>
      <c r="AC16" s="98" t="str">
        <f>IF('Skill Index'!AM14=6,'Skill Index'!A14,"")</f>
        <v/>
      </c>
      <c r="AD16" s="98" t="str">
        <f>IF('Skill Index'!AM14&lt;6,'Skill Index'!A14,"")</f>
        <v>Ramkrishna Kadiya</v>
      </c>
    </row>
    <row r="17" spans="1:30" x14ac:dyDescent="0.35">
      <c r="A17" s="98" t="str">
        <f>IF('Skill Index'!AJ15=10,'Skill Index'!A15,"")</f>
        <v/>
      </c>
      <c r="B17" s="1" t="str">
        <f>IF('Skill Index'!AJ15=9,'Skill Index'!A15,"")</f>
        <v/>
      </c>
      <c r="C17" s="1" t="str">
        <f>IF('Skill Index'!AJ15=8,'Skill Index'!A15,"")</f>
        <v/>
      </c>
      <c r="D17" s="1" t="str">
        <f>IF('Skill Index'!AJ15=7,'Skill Index'!A15,"")</f>
        <v/>
      </c>
      <c r="E17" s="1" t="str">
        <f>IF('Skill Index'!AJ15=6,'Skill Index'!A15,"")</f>
        <v/>
      </c>
      <c r="F17" s="99" t="str">
        <f>IF('Skill Index'!AJ15&lt;6,'Skill Index'!A15,"")</f>
        <v>Revanth Anguluri</v>
      </c>
      <c r="I17" s="98" t="str">
        <f>IF('Skill Index'!AK15=10,'Skill Index'!A15,"")</f>
        <v/>
      </c>
      <c r="J17" s="1" t="str">
        <f>IF('Skill Index'!AK15=9,'Skill Index'!A15,"")</f>
        <v/>
      </c>
      <c r="K17" s="1" t="str">
        <f>IF('Skill Index'!AK15=8,'Skill Index'!A15,"")</f>
        <v/>
      </c>
      <c r="L17" s="1" t="str">
        <f>IF('Skill Index'!AK15=7,'Skill Index'!A15,"")</f>
        <v/>
      </c>
      <c r="M17" s="1" t="str">
        <f>IF('Skill Index'!AK15=6,'Skill Index'!A15,"")</f>
        <v/>
      </c>
      <c r="N17" s="99" t="str">
        <f>IF('Skill Index'!AK15&lt;6,'Skill Index'!A15,"")</f>
        <v>Revanth Anguluri</v>
      </c>
      <c r="Q17" s="98" t="str">
        <f>IF('Skill Index'!AL15=10,'Skill Index'!A15,"")</f>
        <v/>
      </c>
      <c r="R17" s="1" t="str">
        <f>IF('Skill Index'!AL15=9,'Skill Index'!A15,"")</f>
        <v/>
      </c>
      <c r="S17" s="1" t="str">
        <f>IF('Skill Index'!AL15=8,'Skill Index'!A15,"")</f>
        <v/>
      </c>
      <c r="T17" s="1" t="str">
        <f>IF('Skill Index'!AL15=7,'Skill Index'!A15,"")</f>
        <v/>
      </c>
      <c r="U17" s="1" t="str">
        <f>IF('Skill Index'!AL15=6,'Skill Index'!A15,"")</f>
        <v/>
      </c>
      <c r="V17" s="99" t="str">
        <f>IF('Skill Index'!AL15&lt;6,'Skill Index'!A15,"")</f>
        <v>Revanth Anguluri</v>
      </c>
      <c r="Y17" s="98" t="str">
        <f>IF('Skill Index'!AM15=10,'Skill Index'!A15,"")</f>
        <v/>
      </c>
      <c r="Z17" s="98" t="str">
        <f>IF('Skill Index'!AM15=9,'Skill Index'!A15,"")</f>
        <v/>
      </c>
      <c r="AA17" s="98" t="str">
        <f>IF('Skill Index'!AM15=8,'Skill Index'!A15,"")</f>
        <v/>
      </c>
      <c r="AB17" s="98" t="str">
        <f>IF('Skill Index'!AM15=7,'Skill Index'!A15,"")</f>
        <v/>
      </c>
      <c r="AC17" s="98" t="str">
        <f>IF('Skill Index'!AM15=6,'Skill Index'!A15,"")</f>
        <v/>
      </c>
      <c r="AD17" s="98" t="str">
        <f>IF('Skill Index'!AM15&lt;6,'Skill Index'!A15,"")</f>
        <v>Revanth Anguluri</v>
      </c>
    </row>
    <row r="18" spans="1:30" x14ac:dyDescent="0.35">
      <c r="A18" s="98" t="str">
        <f>IF('Skill Index'!AJ16=10,'Skill Index'!A16,"")</f>
        <v/>
      </c>
      <c r="B18" s="1" t="str">
        <f>IF('Skill Index'!AJ16=9,'Skill Index'!A16,"")</f>
        <v/>
      </c>
      <c r="C18" s="1" t="str">
        <f>IF('Skill Index'!AJ16=8,'Skill Index'!A16,"")</f>
        <v/>
      </c>
      <c r="D18" s="1" t="str">
        <f>IF('Skill Index'!AJ16=7,'Skill Index'!A16,"")</f>
        <v/>
      </c>
      <c r="E18" s="1" t="str">
        <f>IF('Skill Index'!AJ16=6,'Skill Index'!A16,"")</f>
        <v/>
      </c>
      <c r="F18" s="99" t="str">
        <f>IF('Skill Index'!AJ16&lt;6,'Skill Index'!A16,"")</f>
        <v>Sagar Sable</v>
      </c>
      <c r="I18" s="98" t="str">
        <f>IF('Skill Index'!AK16=10,'Skill Index'!A16,"")</f>
        <v/>
      </c>
      <c r="J18" s="1" t="str">
        <f>IF('Skill Index'!AK16=9,'Skill Index'!A16,"")</f>
        <v/>
      </c>
      <c r="K18" s="1" t="str">
        <f>IF('Skill Index'!AK16=8,'Skill Index'!A16,"")</f>
        <v/>
      </c>
      <c r="L18" s="1" t="str">
        <f>IF('Skill Index'!AK16=7,'Skill Index'!A16,"")</f>
        <v/>
      </c>
      <c r="M18" s="1" t="str">
        <f>IF('Skill Index'!AK16=6,'Skill Index'!A16,"")</f>
        <v/>
      </c>
      <c r="N18" s="99" t="str">
        <f>IF('Skill Index'!AK16&lt;6,'Skill Index'!A16,"")</f>
        <v>Sagar Sable</v>
      </c>
      <c r="Q18" s="98" t="str">
        <f>IF('Skill Index'!AL16=10,'Skill Index'!A16,"")</f>
        <v/>
      </c>
      <c r="R18" s="1" t="str">
        <f>IF('Skill Index'!AL16=9,'Skill Index'!A16,"")</f>
        <v/>
      </c>
      <c r="S18" s="1" t="str">
        <f>IF('Skill Index'!AL16=8,'Skill Index'!A16,"")</f>
        <v/>
      </c>
      <c r="T18" s="1" t="str">
        <f>IF('Skill Index'!AL16=7,'Skill Index'!A16,"")</f>
        <v/>
      </c>
      <c r="U18" s="1" t="str">
        <f>IF('Skill Index'!AL16=6,'Skill Index'!A16,"")</f>
        <v/>
      </c>
      <c r="V18" s="99" t="str">
        <f>IF('Skill Index'!AL16&lt;6,'Skill Index'!A16,"")</f>
        <v>Sagar Sable</v>
      </c>
      <c r="Y18" s="98" t="str">
        <f>IF('Skill Index'!AM16=10,'Skill Index'!A16,"")</f>
        <v/>
      </c>
      <c r="Z18" s="98" t="str">
        <f>IF('Skill Index'!AM16=9,'Skill Index'!A16,"")</f>
        <v/>
      </c>
      <c r="AA18" s="98" t="str">
        <f>IF('Skill Index'!AM16=8,'Skill Index'!A16,"")</f>
        <v/>
      </c>
      <c r="AB18" s="98" t="str">
        <f>IF('Skill Index'!AM16=7,'Skill Index'!A16,"")</f>
        <v/>
      </c>
      <c r="AC18" s="98" t="str">
        <f>IF('Skill Index'!AM16=6,'Skill Index'!A16,"")</f>
        <v/>
      </c>
      <c r="AD18" s="98" t="str">
        <f>IF('Skill Index'!AM16&lt;6,'Skill Index'!A16,"")</f>
        <v>Sagar Sable</v>
      </c>
    </row>
    <row r="19" spans="1:30" x14ac:dyDescent="0.35">
      <c r="A19" s="98" t="str">
        <f>IF('Skill Index'!AJ17=10,'Skill Index'!A17,"")</f>
        <v/>
      </c>
      <c r="B19" s="1" t="str">
        <f>IF('Skill Index'!AJ17=9,'Skill Index'!A17,"")</f>
        <v/>
      </c>
      <c r="C19" s="1" t="str">
        <f>IF('Skill Index'!AJ17=8,'Skill Index'!A17,"")</f>
        <v/>
      </c>
      <c r="D19" s="1" t="str">
        <f>IF('Skill Index'!AJ17=7,'Skill Index'!A17,"")</f>
        <v/>
      </c>
      <c r="E19" s="1" t="str">
        <f>IF('Skill Index'!AJ17=6,'Skill Index'!A17,"")</f>
        <v/>
      </c>
      <c r="F19" s="99" t="str">
        <f>IF('Skill Index'!AJ17&lt;6,'Skill Index'!A17,"")</f>
        <v>Shreya Ramprakash</v>
      </c>
      <c r="I19" s="98" t="str">
        <f>IF('Skill Index'!AK17=10,'Skill Index'!A17,"")</f>
        <v/>
      </c>
      <c r="J19" s="1" t="str">
        <f>IF('Skill Index'!AK17=9,'Skill Index'!A17,"")</f>
        <v/>
      </c>
      <c r="K19" s="1" t="str">
        <f>IF('Skill Index'!AK17=8,'Skill Index'!A17,"")</f>
        <v/>
      </c>
      <c r="L19" s="1" t="str">
        <f>IF('Skill Index'!AK17=7,'Skill Index'!A17,"")</f>
        <v/>
      </c>
      <c r="M19" s="1" t="str">
        <f>IF('Skill Index'!AK17=6,'Skill Index'!A17,"")</f>
        <v/>
      </c>
      <c r="N19" s="99" t="str">
        <f>IF('Skill Index'!AK17&lt;6,'Skill Index'!A17,"")</f>
        <v>Shreya Ramprakash</v>
      </c>
      <c r="Q19" s="98" t="str">
        <f>IF('Skill Index'!AL17=10,'Skill Index'!A17,"")</f>
        <v/>
      </c>
      <c r="R19" s="1" t="str">
        <f>IF('Skill Index'!AL17=9,'Skill Index'!A17,"")</f>
        <v/>
      </c>
      <c r="S19" s="1" t="str">
        <f>IF('Skill Index'!AL17=8,'Skill Index'!A17,"")</f>
        <v/>
      </c>
      <c r="T19" s="1" t="str">
        <f>IF('Skill Index'!AL17=7,'Skill Index'!A17,"")</f>
        <v/>
      </c>
      <c r="U19" s="1" t="str">
        <f>IF('Skill Index'!AL17=6,'Skill Index'!A17,"")</f>
        <v/>
      </c>
      <c r="V19" s="99" t="str">
        <f>IF('Skill Index'!AL17&lt;6,'Skill Index'!A17,"")</f>
        <v>Shreya Ramprakash</v>
      </c>
      <c r="Y19" s="98" t="str">
        <f>IF('Skill Index'!AM17=10,'Skill Index'!A17,"")</f>
        <v/>
      </c>
      <c r="Z19" s="98" t="str">
        <f>IF('Skill Index'!AM17=9,'Skill Index'!A17,"")</f>
        <v/>
      </c>
      <c r="AA19" s="98" t="str">
        <f>IF('Skill Index'!AM17=8,'Skill Index'!A17,"")</f>
        <v/>
      </c>
      <c r="AB19" s="98" t="str">
        <f>IF('Skill Index'!AM17=7,'Skill Index'!A17,"")</f>
        <v/>
      </c>
      <c r="AC19" s="98" t="str">
        <f>IF('Skill Index'!AM17=6,'Skill Index'!A17,"")</f>
        <v/>
      </c>
      <c r="AD19" s="98" t="str">
        <f>IF('Skill Index'!AM17&lt;6,'Skill Index'!A17,"")</f>
        <v>Shreya Ramprakash</v>
      </c>
    </row>
    <row r="20" spans="1:30" x14ac:dyDescent="0.35">
      <c r="A20" s="98" t="str">
        <f>IF('Skill Index'!AJ18=10,'Skill Index'!A18,"")</f>
        <v/>
      </c>
      <c r="B20" s="1" t="str">
        <f>IF('Skill Index'!AJ18=9,'Skill Index'!A18,"")</f>
        <v/>
      </c>
      <c r="C20" s="1" t="str">
        <f>IF('Skill Index'!AJ18=8,'Skill Index'!A18,"")</f>
        <v/>
      </c>
      <c r="D20" s="1" t="str">
        <f>IF('Skill Index'!AJ18=7,'Skill Index'!A18,"")</f>
        <v/>
      </c>
      <c r="E20" s="1" t="str">
        <f>IF('Skill Index'!AJ18=6,'Skill Index'!A18,"")</f>
        <v>Shreyas Risodkar</v>
      </c>
      <c r="F20" s="99" t="str">
        <f>IF('Skill Index'!AJ18&lt;6,'Skill Index'!A18,"")</f>
        <v/>
      </c>
      <c r="I20" s="98" t="str">
        <f>IF('Skill Index'!AK18=10,'Skill Index'!A18,"")</f>
        <v/>
      </c>
      <c r="J20" s="1" t="str">
        <f>IF('Skill Index'!AK18=9,'Skill Index'!A18,"")</f>
        <v/>
      </c>
      <c r="K20" s="1" t="str">
        <f>IF('Skill Index'!AK18=8,'Skill Index'!A18,"")</f>
        <v/>
      </c>
      <c r="L20" s="1" t="str">
        <f>IF('Skill Index'!AK18=7,'Skill Index'!A18,"")</f>
        <v/>
      </c>
      <c r="M20" s="1" t="str">
        <f>IF('Skill Index'!AK18=6,'Skill Index'!A18,"")</f>
        <v>Shreyas Risodkar</v>
      </c>
      <c r="N20" s="99" t="str">
        <f>IF('Skill Index'!AK18&lt;6,'Skill Index'!A18,"")</f>
        <v/>
      </c>
      <c r="Q20" s="98" t="str">
        <f>IF('Skill Index'!AL18=10,'Skill Index'!A18,"")</f>
        <v/>
      </c>
      <c r="R20" s="1" t="str">
        <f>IF('Skill Index'!AL18=9,'Skill Index'!A18,"")</f>
        <v/>
      </c>
      <c r="S20" s="1" t="str">
        <f>IF('Skill Index'!AL18=8,'Skill Index'!A18,"")</f>
        <v/>
      </c>
      <c r="T20" s="1" t="str">
        <f>IF('Skill Index'!AL18=7,'Skill Index'!A18,"")</f>
        <v/>
      </c>
      <c r="U20" s="1" t="str">
        <f>IF('Skill Index'!AL18=6,'Skill Index'!A18,"")</f>
        <v>Shreyas Risodkar</v>
      </c>
      <c r="V20" s="99" t="str">
        <f>IF('Skill Index'!AL18&lt;6,'Skill Index'!A18,"")</f>
        <v/>
      </c>
      <c r="Y20" s="98" t="str">
        <f>IF('Skill Index'!AM18=10,'Skill Index'!A18,"")</f>
        <v/>
      </c>
      <c r="Z20" s="98" t="str">
        <f>IF('Skill Index'!AM18=9,'Skill Index'!A18,"")</f>
        <v/>
      </c>
      <c r="AA20" s="98" t="str">
        <f>IF('Skill Index'!AM18=8,'Skill Index'!A18,"")</f>
        <v/>
      </c>
      <c r="AB20" s="98" t="str">
        <f>IF('Skill Index'!AM18=7,'Skill Index'!A18,"")</f>
        <v/>
      </c>
      <c r="AC20" s="98" t="str">
        <f>IF('Skill Index'!AM18=6,'Skill Index'!A18,"")</f>
        <v>Shreyas Risodkar</v>
      </c>
      <c r="AD20" s="98" t="str">
        <f>IF('Skill Index'!AM18&lt;6,'Skill Index'!A18,"")</f>
        <v/>
      </c>
    </row>
    <row r="21" spans="1:30" x14ac:dyDescent="0.35">
      <c r="A21" s="98" t="str">
        <f>IF('Skill Index'!AJ19=10,'Skill Index'!A19,"")</f>
        <v/>
      </c>
      <c r="B21" s="1" t="str">
        <f>IF('Skill Index'!AJ19=9,'Skill Index'!A19,"")</f>
        <v/>
      </c>
      <c r="C21" s="1" t="str">
        <f>IF('Skill Index'!AJ19=8,'Skill Index'!A19,"")</f>
        <v/>
      </c>
      <c r="D21" s="1" t="str">
        <f>IF('Skill Index'!AJ19=7,'Skill Index'!A19,"")</f>
        <v/>
      </c>
      <c r="E21" s="1" t="str">
        <f>IF('Skill Index'!AJ19=6,'Skill Index'!A19,"")</f>
        <v/>
      </c>
      <c r="F21" s="99" t="str">
        <f>IF('Skill Index'!AJ19&lt;6,'Skill Index'!A19,"")</f>
        <v>Srikirti Raj</v>
      </c>
      <c r="I21" s="98" t="str">
        <f>IF('Skill Index'!AK19=10,'Skill Index'!A19,"")</f>
        <v/>
      </c>
      <c r="J21" s="1" t="str">
        <f>IF('Skill Index'!AK19=9,'Skill Index'!A19,"")</f>
        <v/>
      </c>
      <c r="K21" s="1" t="str">
        <f>IF('Skill Index'!AK19=8,'Skill Index'!A19,"")</f>
        <v/>
      </c>
      <c r="L21" s="1" t="str">
        <f>IF('Skill Index'!AK19=7,'Skill Index'!A19,"")</f>
        <v/>
      </c>
      <c r="M21" s="1" t="str">
        <f>IF('Skill Index'!AK19=6,'Skill Index'!A19,"")</f>
        <v/>
      </c>
      <c r="N21" s="99" t="str">
        <f>IF('Skill Index'!AK19&lt;6,'Skill Index'!A19,"")</f>
        <v>Srikirti Raj</v>
      </c>
      <c r="Q21" s="98" t="str">
        <f>IF('Skill Index'!AL19=10,'Skill Index'!A19,"")</f>
        <v/>
      </c>
      <c r="R21" s="1" t="str">
        <f>IF('Skill Index'!AL19=9,'Skill Index'!A19,"")</f>
        <v/>
      </c>
      <c r="S21" s="1" t="str">
        <f>IF('Skill Index'!AL19=8,'Skill Index'!A19,"")</f>
        <v/>
      </c>
      <c r="T21" s="1" t="str">
        <f>IF('Skill Index'!AL19=7,'Skill Index'!A19,"")</f>
        <v/>
      </c>
      <c r="U21" s="1" t="str">
        <f>IF('Skill Index'!AL19=6,'Skill Index'!A19,"")</f>
        <v/>
      </c>
      <c r="V21" s="99" t="str">
        <f>IF('Skill Index'!AL19&lt;6,'Skill Index'!A19,"")</f>
        <v>Srikirti Raj</v>
      </c>
      <c r="Y21" s="98" t="str">
        <f>IF('Skill Index'!AM19=10,'Skill Index'!A19,"")</f>
        <v/>
      </c>
      <c r="Z21" s="98" t="str">
        <f>IF('Skill Index'!AM19=9,'Skill Index'!A19,"")</f>
        <v/>
      </c>
      <c r="AA21" s="98" t="str">
        <f>IF('Skill Index'!AM19=8,'Skill Index'!A19,"")</f>
        <v/>
      </c>
      <c r="AB21" s="98" t="str">
        <f>IF('Skill Index'!AM19=7,'Skill Index'!A19,"")</f>
        <v/>
      </c>
      <c r="AC21" s="98" t="str">
        <f>IF('Skill Index'!AM19=6,'Skill Index'!A19,"")</f>
        <v/>
      </c>
      <c r="AD21" s="98" t="str">
        <f>IF('Skill Index'!AM19&lt;6,'Skill Index'!A19,"")</f>
        <v>Srikirti Raj</v>
      </c>
    </row>
    <row r="22" spans="1:30" x14ac:dyDescent="0.35">
      <c r="A22" s="98" t="str">
        <f>IF('Skill Index'!AJ20=10,'Skill Index'!A20,"")</f>
        <v/>
      </c>
      <c r="B22" s="1" t="str">
        <f>IF('Skill Index'!AJ20=9,'Skill Index'!A20,"")</f>
        <v/>
      </c>
      <c r="C22" s="1" t="str">
        <f>IF('Skill Index'!AJ20=8,'Skill Index'!A20,"")</f>
        <v/>
      </c>
      <c r="D22" s="1" t="str">
        <f>IF('Skill Index'!AJ20=7,'Skill Index'!A20,"")</f>
        <v/>
      </c>
      <c r="E22" s="1" t="str">
        <f>IF('Skill Index'!AJ20=6,'Skill Index'!A20,"")</f>
        <v/>
      </c>
      <c r="F22" s="99" t="str">
        <f>IF('Skill Index'!AJ20&lt;6,'Skill Index'!A20,"")</f>
        <v>Swetha KJ</v>
      </c>
      <c r="I22" s="98" t="str">
        <f>IF('Skill Index'!AK20=10,'Skill Index'!A20,"")</f>
        <v/>
      </c>
      <c r="J22" s="1" t="str">
        <f>IF('Skill Index'!AK20=9,'Skill Index'!A20,"")</f>
        <v/>
      </c>
      <c r="K22" s="1" t="str">
        <f>IF('Skill Index'!AK20=8,'Skill Index'!A20,"")</f>
        <v/>
      </c>
      <c r="L22" s="1" t="str">
        <f>IF('Skill Index'!AK20=7,'Skill Index'!A20,"")</f>
        <v/>
      </c>
      <c r="M22" s="1" t="str">
        <f>IF('Skill Index'!AK20=6,'Skill Index'!A20,"")</f>
        <v/>
      </c>
      <c r="N22" s="99" t="str">
        <f>IF('Skill Index'!AK20&lt;6,'Skill Index'!A20,"")</f>
        <v>Swetha KJ</v>
      </c>
      <c r="Q22" s="98" t="str">
        <f>IF('Skill Index'!AL20=10,'Skill Index'!A20,"")</f>
        <v/>
      </c>
      <c r="R22" s="1" t="str">
        <f>IF('Skill Index'!AL20=9,'Skill Index'!A20,"")</f>
        <v/>
      </c>
      <c r="S22" s="1" t="str">
        <f>IF('Skill Index'!AL20=8,'Skill Index'!A20,"")</f>
        <v/>
      </c>
      <c r="T22" s="1" t="str">
        <f>IF('Skill Index'!AL20=7,'Skill Index'!A20,"")</f>
        <v/>
      </c>
      <c r="U22" s="1" t="str">
        <f>IF('Skill Index'!AL20=6,'Skill Index'!A20,"")</f>
        <v/>
      </c>
      <c r="V22" s="99" t="str">
        <f>IF('Skill Index'!AL20&lt;6,'Skill Index'!A20,"")</f>
        <v>Swetha KJ</v>
      </c>
      <c r="Y22" s="98" t="str">
        <f>IF('Skill Index'!AM20=10,'Skill Index'!A20,"")</f>
        <v/>
      </c>
      <c r="Z22" s="98" t="str">
        <f>IF('Skill Index'!AM20=9,'Skill Index'!A20,"")</f>
        <v/>
      </c>
      <c r="AA22" s="98" t="str">
        <f>IF('Skill Index'!AM20=8,'Skill Index'!A20,"")</f>
        <v/>
      </c>
      <c r="AB22" s="98" t="str">
        <f>IF('Skill Index'!AM20=7,'Skill Index'!A20,"")</f>
        <v/>
      </c>
      <c r="AC22" s="98" t="str">
        <f>IF('Skill Index'!AM20=6,'Skill Index'!A20,"")</f>
        <v/>
      </c>
      <c r="AD22" s="98" t="str">
        <f>IF('Skill Index'!AM20&lt;6,'Skill Index'!A20,"")</f>
        <v>Swetha KJ</v>
      </c>
    </row>
  </sheetData>
  <mergeCells count="4">
    <mergeCell ref="A1:F2"/>
    <mergeCell ref="I1:N2"/>
    <mergeCell ref="Q1:V2"/>
    <mergeCell ref="Y1:A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ED3D-661F-4105-83E5-E647802F9506}">
  <sheetPr codeName="Sheet33"/>
  <dimension ref="A1:F22"/>
  <sheetViews>
    <sheetView workbookViewId="0">
      <selection activeCell="D14" sqref="D14"/>
    </sheetView>
  </sheetViews>
  <sheetFormatPr defaultRowHeight="14.5" x14ac:dyDescent="0.35"/>
  <cols>
    <col min="1" max="1" width="13.1796875" customWidth="1"/>
    <col min="3" max="4" width="17.453125" bestFit="1" customWidth="1"/>
    <col min="5" max="5" width="15" bestFit="1" customWidth="1"/>
    <col min="6" max="6" width="16.81640625" bestFit="1" customWidth="1"/>
  </cols>
  <sheetData>
    <row r="1" spans="1:6" x14ac:dyDescent="0.35">
      <c r="A1" s="84" t="s">
        <v>23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Index'!AN4=10,'Skill Index'!A4,"")</f>
        <v/>
      </c>
      <c r="B6" s="1" t="str">
        <f>IF('Skill Index'!AN4=9,'Skill Index'!A4,"")</f>
        <v/>
      </c>
      <c r="C6" s="1" t="str">
        <f>IF('Skill Index'!AN4=8,'Skill Index'!A4,"")</f>
        <v/>
      </c>
      <c r="D6" s="1" t="str">
        <f>IF('Skill Index'!AN4=7,'Skill Index'!A4,"")</f>
        <v>Ankit Rajput</v>
      </c>
      <c r="E6" s="1" t="str">
        <f>IF('Skill Index'!AN4=6,'Skill Index'!A4,"")</f>
        <v/>
      </c>
      <c r="F6" s="1" t="str">
        <f>IF('Skill Index'!AN4&lt;6,'Skill Index'!A4,"")</f>
        <v/>
      </c>
    </row>
    <row r="7" spans="1:6" x14ac:dyDescent="0.35">
      <c r="A7" s="1" t="str">
        <f>IF('Skill Index'!AN5=10,'Skill Index'!A5,"")</f>
        <v/>
      </c>
      <c r="B7" s="1" t="str">
        <f>IF('Skill Index'!AN5=9,'Skill Index'!A5,"")</f>
        <v/>
      </c>
      <c r="C7" s="1" t="str">
        <f>IF('Skill Index'!AN5=8,'Skill Index'!A5,"")</f>
        <v/>
      </c>
      <c r="D7" s="1" t="str">
        <f>IF('Skill Index'!AN5=7,'Skill Index'!A5,"")</f>
        <v/>
      </c>
      <c r="E7" s="1" t="str">
        <f>IF('Skill Index'!AN5=6,'Skill Index'!A5,"")</f>
        <v>Anusha Gunda</v>
      </c>
      <c r="F7" s="1" t="str">
        <f>IF('Skill Index'!AN5&lt;6,'Skill Index'!A5,"")</f>
        <v/>
      </c>
    </row>
    <row r="8" spans="1:6" x14ac:dyDescent="0.35">
      <c r="A8" s="1" t="str">
        <f>IF('Skill Index'!AN6=10,'Skill Index'!A6,"")</f>
        <v/>
      </c>
      <c r="B8" s="1" t="str">
        <f>IF('Skill Index'!AN6=9,'Skill Index'!A6,"")</f>
        <v/>
      </c>
      <c r="C8" s="1" t="str">
        <f>IF('Skill Index'!AN6=8,'Skill Index'!A6,"")</f>
        <v/>
      </c>
      <c r="D8" s="1" t="str">
        <f>IF('Skill Index'!AN6=7,'Skill Index'!A6,"")</f>
        <v/>
      </c>
      <c r="E8" s="1" t="str">
        <f>IF('Skill Index'!AN6=6,'Skill Index'!A6,"")</f>
        <v/>
      </c>
      <c r="F8" s="1" t="str">
        <f>IF('Skill Index'!AN6&lt;6,'Skill Index'!A6,"")</f>
        <v>Arun Kumar</v>
      </c>
    </row>
    <row r="9" spans="1:6" x14ac:dyDescent="0.35">
      <c r="A9" s="1" t="str">
        <f>IF('Skill Index'!AN7=10,'Skill Index'!A7,"")</f>
        <v/>
      </c>
      <c r="B9" s="1" t="str">
        <f>IF('Skill Index'!AN7=9,'Skill Index'!A7,"")</f>
        <v/>
      </c>
      <c r="C9" s="1" t="str">
        <f>IF('Skill Index'!AN7=8,'Skill Index'!A7,"")</f>
        <v/>
      </c>
      <c r="D9" s="1" t="str">
        <f>IF('Skill Index'!AN7=7,'Skill Index'!A7,"")</f>
        <v>Ashraya H D</v>
      </c>
      <c r="E9" s="1" t="str">
        <f>IF('Skill Index'!AN7=6,'Skill Index'!A7,"")</f>
        <v/>
      </c>
      <c r="F9" s="1" t="str">
        <f>IF('Skill Index'!AN7&lt;6,'Skill Index'!A7,"")</f>
        <v/>
      </c>
    </row>
    <row r="10" spans="1:6" x14ac:dyDescent="0.35">
      <c r="A10" s="1" t="str">
        <f>IF('Skill Index'!AN8=10,'Skill Index'!A8,"")</f>
        <v/>
      </c>
      <c r="B10" s="1" t="str">
        <f>IF('Skill Index'!AN8=9,'Skill Index'!A8,"")</f>
        <v/>
      </c>
      <c r="C10" s="1" t="str">
        <f>IF('Skill Index'!AN8=8,'Skill Index'!A8,"")</f>
        <v/>
      </c>
      <c r="D10" s="1" t="str">
        <f>IF('Skill Index'!AN8=7,'Skill Index'!A8,"")</f>
        <v/>
      </c>
      <c r="E10" s="1" t="str">
        <f>IF('Skill Index'!AN8=6,'Skill Index'!A8,"")</f>
        <v/>
      </c>
      <c r="F10" s="1" t="str">
        <f>IF('Skill Index'!AN8&lt;6,'Skill Index'!A8,"")</f>
        <v>Jeet Doshi</v>
      </c>
    </row>
    <row r="11" spans="1:6" x14ac:dyDescent="0.35">
      <c r="A11" s="1" t="str">
        <f>IF('Skill Index'!AN9=10,'Skill Index'!A9,"")</f>
        <v/>
      </c>
      <c r="B11" s="1" t="str">
        <f>IF('Skill Index'!AN9=9,'Skill Index'!A9,"")</f>
        <v/>
      </c>
      <c r="C11" s="1" t="str">
        <f>IF('Skill Index'!AN9=8,'Skill Index'!A9,"")</f>
        <v/>
      </c>
      <c r="D11" s="1" t="str">
        <f>IF('Skill Index'!AN9=7,'Skill Index'!A9,"")</f>
        <v/>
      </c>
      <c r="E11" s="1" t="str">
        <f>IF('Skill Index'!AN9=6,'Skill Index'!A9,"")</f>
        <v/>
      </c>
      <c r="F11" s="1" t="str">
        <f>IF('Skill Index'!AN9&lt;6,'Skill Index'!A9,"")</f>
        <v>Mahesh Kumar</v>
      </c>
    </row>
    <row r="12" spans="1:6" x14ac:dyDescent="0.35">
      <c r="A12" s="1" t="str">
        <f>IF('Skill Index'!AN10=10,'Skill Index'!A10,"")</f>
        <v/>
      </c>
      <c r="B12" s="1" t="str">
        <f>IF('Skill Index'!AN10=9,'Skill Index'!A10,"")</f>
        <v/>
      </c>
      <c r="C12" s="1" t="str">
        <f>IF('Skill Index'!AN10=8,'Skill Index'!A10,"")</f>
        <v/>
      </c>
      <c r="D12" s="1" t="str">
        <f>IF('Skill Index'!AN10=7,'Skill Index'!A10,"")</f>
        <v/>
      </c>
      <c r="E12" s="1" t="str">
        <f>IF('Skill Index'!AN10=6,'Skill Index'!A10,"")</f>
        <v>Nilekha Repaka</v>
      </c>
      <c r="F12" s="1" t="str">
        <f>IF('Skill Index'!AN10&lt;6,'Skill Index'!A10,"")</f>
        <v/>
      </c>
    </row>
    <row r="13" spans="1:6" x14ac:dyDescent="0.35">
      <c r="A13" s="1" t="str">
        <f>IF('Skill Index'!AN11=10,'Skill Index'!A11,"")</f>
        <v/>
      </c>
      <c r="B13" s="1" t="str">
        <f>IF('Skill Index'!AN11=9,'Skill Index'!A11,"")</f>
        <v/>
      </c>
      <c r="C13" s="1" t="str">
        <f>IF('Skill Index'!AN11=8,'Skill Index'!A11,"")</f>
        <v/>
      </c>
      <c r="D13" s="1" t="str">
        <f>IF('Skill Index'!AN11=7,'Skill Index'!A11,"")</f>
        <v/>
      </c>
      <c r="E13" s="1" t="str">
        <f>IF('Skill Index'!AN11=6,'Skill Index'!A11,"")</f>
        <v/>
      </c>
      <c r="F13" s="1" t="str">
        <f>IF('Skill Index'!AN11&lt;6,'Skill Index'!A11,"")</f>
        <v>Pawan Rathore</v>
      </c>
    </row>
    <row r="14" spans="1:6" x14ac:dyDescent="0.35">
      <c r="A14" s="1" t="str">
        <f>IF('Skill Index'!AN12=10,'Skill Index'!A12,"")</f>
        <v/>
      </c>
      <c r="B14" s="1" t="str">
        <f>IF('Skill Index'!AN12=9,'Skill Index'!A12,"")</f>
        <v/>
      </c>
      <c r="C14" s="1" t="str">
        <f>IF('Skill Index'!AN12=8,'Skill Index'!A12,"")</f>
        <v/>
      </c>
      <c r="D14" s="1" t="str">
        <f>IF('Skill Index'!AN12=7,'Skill Index'!A12,"")</f>
        <v>Priyesh Tiwari</v>
      </c>
      <c r="E14" s="1" t="str">
        <f>IF('Skill Index'!AN12=6,'Skill Index'!A12,"")</f>
        <v/>
      </c>
      <c r="F14" s="1" t="str">
        <f>IF('Skill Index'!AN12&lt;6,'Skill Index'!A12,"")</f>
        <v/>
      </c>
    </row>
    <row r="15" spans="1:6" x14ac:dyDescent="0.35">
      <c r="A15" s="1" t="str">
        <f>IF('Skill Index'!AN13=10,'Skill Index'!A13,"")</f>
        <v/>
      </c>
      <c r="B15" s="1" t="str">
        <f>IF('Skill Index'!AN13=9,'Skill Index'!A13,"")</f>
        <v/>
      </c>
      <c r="C15" s="1" t="str">
        <f>IF('Skill Index'!AN13=8,'Skill Index'!A13,"")</f>
        <v>Rahul Kumar</v>
      </c>
      <c r="D15" s="1" t="str">
        <f>IF('Skill Index'!AN13=7,'Skill Index'!A13,"")</f>
        <v/>
      </c>
      <c r="E15" s="1" t="str">
        <f>IF('Skill Index'!AN13=6,'Skill Index'!A13,"")</f>
        <v/>
      </c>
      <c r="F15" s="1" t="str">
        <f>IF('Skill Index'!AN13&lt;6,'Skill Index'!A13,"")</f>
        <v/>
      </c>
    </row>
    <row r="16" spans="1:6" x14ac:dyDescent="0.35">
      <c r="A16" s="1" t="str">
        <f>IF('Skill Index'!AN14=10,'Skill Index'!A14,"")</f>
        <v/>
      </c>
      <c r="B16" s="1" t="str">
        <f>IF('Skill Index'!AN14=9,'Skill Index'!A14,"")</f>
        <v/>
      </c>
      <c r="C16" s="1" t="str">
        <f>IF('Skill Index'!AN14=8,'Skill Index'!A14,"")</f>
        <v/>
      </c>
      <c r="D16" s="1" t="str">
        <f>IF('Skill Index'!AN14=7,'Skill Index'!A14,"")</f>
        <v/>
      </c>
      <c r="E16" s="1" t="str">
        <f>IF('Skill Index'!AN14=6,'Skill Index'!A14,"")</f>
        <v/>
      </c>
      <c r="F16" s="1" t="str">
        <f>IF('Skill Index'!AN14&lt;6,'Skill Index'!A14,"")</f>
        <v>Ramkrishna Kadiya</v>
      </c>
    </row>
    <row r="17" spans="1:6" x14ac:dyDescent="0.35">
      <c r="A17" s="1" t="str">
        <f>IF('Skill Index'!AN15=10,'Skill Index'!A15,"")</f>
        <v/>
      </c>
      <c r="B17" s="1" t="str">
        <f>IF('Skill Index'!AN15=9,'Skill Index'!A15,"")</f>
        <v/>
      </c>
      <c r="C17" s="1" t="str">
        <f>IF('Skill Index'!AN15=8,'Skill Index'!A15,"")</f>
        <v/>
      </c>
      <c r="D17" s="1" t="str">
        <f>IF('Skill Index'!AN15=7,'Skill Index'!A15,"")</f>
        <v/>
      </c>
      <c r="E17" s="1" t="str">
        <f>IF('Skill Index'!AN15=6,'Skill Index'!A15,"")</f>
        <v/>
      </c>
      <c r="F17" s="1" t="str">
        <f>IF('Skill Index'!AN15&lt;6,'Skill Index'!A15,"")</f>
        <v>Revanth Anguluri</v>
      </c>
    </row>
    <row r="18" spans="1:6" x14ac:dyDescent="0.35">
      <c r="A18" s="1" t="str">
        <f>IF('Skill Index'!AN16=10,'Skill Index'!A16,"")</f>
        <v/>
      </c>
      <c r="B18" s="1" t="str">
        <f>IF('Skill Index'!AN16=9,'Skill Index'!A16,"")</f>
        <v/>
      </c>
      <c r="C18" s="1" t="str">
        <f>IF('Skill Index'!AN16=8,'Skill Index'!A16,"")</f>
        <v/>
      </c>
      <c r="D18" s="1" t="str">
        <f>IF('Skill Index'!AN16=7,'Skill Index'!A16,"")</f>
        <v/>
      </c>
      <c r="E18" s="1" t="str">
        <f>IF('Skill Index'!AN16=6,'Skill Index'!A16,"")</f>
        <v>Sagar Sable</v>
      </c>
      <c r="F18" s="1" t="str">
        <f>IF('Skill Index'!AN16&lt;6,'Skill Index'!A16,"")</f>
        <v/>
      </c>
    </row>
    <row r="19" spans="1:6" x14ac:dyDescent="0.35">
      <c r="A19" s="1" t="str">
        <f>IF('Skill Index'!AN17=10,'Skill Index'!A17,"")</f>
        <v/>
      </c>
      <c r="B19" s="1" t="str">
        <f>IF('Skill Index'!AN17=9,'Skill Index'!A17,"")</f>
        <v/>
      </c>
      <c r="C19" s="1" t="str">
        <f>IF('Skill Index'!AN17=8,'Skill Index'!A17,"")</f>
        <v/>
      </c>
      <c r="D19" s="1" t="str">
        <f>IF('Skill Index'!AN17=7,'Skill Index'!A17,"")</f>
        <v/>
      </c>
      <c r="E19" s="1" t="str">
        <f>IF('Skill Index'!AN17=6,'Skill Index'!A17,"")</f>
        <v/>
      </c>
      <c r="F19" s="1" t="str">
        <f>IF('Skill Index'!AN17&lt;6,'Skill Index'!A17,"")</f>
        <v>Shreya Ramprakash</v>
      </c>
    </row>
    <row r="20" spans="1:6" x14ac:dyDescent="0.35">
      <c r="A20" s="1" t="str">
        <f>IF('Skill Index'!AN18=10,'Skill Index'!A18,"")</f>
        <v/>
      </c>
      <c r="B20" s="1" t="str">
        <f>IF('Skill Index'!AN18=9,'Skill Index'!A18,"")</f>
        <v/>
      </c>
      <c r="C20" s="1" t="str">
        <f>IF('Skill Index'!AN18=8,'Skill Index'!A18,"")</f>
        <v/>
      </c>
      <c r="D20" s="1" t="str">
        <f>IF('Skill Index'!AN18=7,'Skill Index'!A18,"")</f>
        <v>Shreyas Risodkar</v>
      </c>
      <c r="E20" s="1" t="str">
        <f>IF('Skill Index'!AN18=6,'Skill Index'!A18,"")</f>
        <v/>
      </c>
      <c r="F20" s="1" t="str">
        <f>IF('Skill Index'!AN18&lt;6,'Skill Index'!A18,"")</f>
        <v/>
      </c>
    </row>
    <row r="21" spans="1:6" x14ac:dyDescent="0.35">
      <c r="A21" s="1" t="str">
        <f>IF('Skill Index'!AN19=10,'Skill Index'!A19,"")</f>
        <v/>
      </c>
      <c r="B21" s="1" t="str">
        <f>IF('Skill Index'!AN19=9,'Skill Index'!A19,"")</f>
        <v/>
      </c>
      <c r="C21" s="1" t="str">
        <f>IF('Skill Index'!AN19=8,'Skill Index'!A19,"")</f>
        <v/>
      </c>
      <c r="D21" s="1" t="str">
        <f>IF('Skill Index'!AN19=7,'Skill Index'!A19,"")</f>
        <v>Srikirti Raj</v>
      </c>
      <c r="E21" s="1" t="str">
        <f>IF('Skill Index'!AN19=6,'Skill Index'!A19,"")</f>
        <v/>
      </c>
      <c r="F21" s="1" t="str">
        <f>IF('Skill Index'!AN19&lt;6,'Skill Index'!A19,"")</f>
        <v/>
      </c>
    </row>
    <row r="22" spans="1:6" x14ac:dyDescent="0.35">
      <c r="A22" s="1" t="str">
        <f>IF('Skill Index'!AN20=10,'Skill Index'!A20,"")</f>
        <v/>
      </c>
      <c r="B22" s="1" t="str">
        <f>IF('Skill Index'!AN20=9,'Skill Index'!A20,"")</f>
        <v/>
      </c>
      <c r="C22" s="1" t="str">
        <f>IF('Skill Index'!AN20=8,'Skill Index'!A20,"")</f>
        <v/>
      </c>
      <c r="D22" s="1" t="str">
        <f>IF('Skill Index'!AN20=7,'Skill Index'!A20,"")</f>
        <v/>
      </c>
      <c r="E22" s="1" t="str">
        <f>IF('Skill Index'!AN20=6,'Skill Index'!A20,"")</f>
        <v>Swetha KJ</v>
      </c>
      <c r="F22" s="1" t="str">
        <f>IF('Skill Index'!AN20&lt;6,'Skill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14FF-E7D5-4513-951F-31DB2A63087F}">
  <sheetPr codeName="Sheet34"/>
  <dimension ref="A1:V22"/>
  <sheetViews>
    <sheetView topLeftCell="K1" workbookViewId="0">
      <selection activeCell="Q13" sqref="Q13"/>
    </sheetView>
  </sheetViews>
  <sheetFormatPr defaultRowHeight="14.5" x14ac:dyDescent="0.35"/>
  <cols>
    <col min="1" max="1" width="13.1796875" customWidth="1"/>
    <col min="2" max="2" width="17.453125" bestFit="1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12.36328125" bestFit="1" customWidth="1"/>
    <col min="11" max="11" width="13.6328125" bestFit="1" customWidth="1"/>
    <col min="12" max="12" width="11" bestFit="1" customWidth="1"/>
    <col min="13" max="13" width="13.36328125" bestFit="1" customWidth="1"/>
    <col min="14" max="14" width="20.1796875" customWidth="1"/>
    <col min="17" max="17" width="17.453125" bestFit="1" customWidth="1"/>
    <col min="19" max="19" width="13.6328125" bestFit="1" customWidth="1"/>
    <col min="20" max="20" width="15.1796875" bestFit="1" customWidth="1"/>
    <col min="21" max="21" width="13.36328125" bestFit="1" customWidth="1"/>
    <col min="22" max="22" width="16.81640625" bestFit="1" customWidth="1"/>
  </cols>
  <sheetData>
    <row r="1" spans="1:22" ht="14.5" customHeight="1" x14ac:dyDescent="0.35">
      <c r="A1" s="87" t="s">
        <v>25</v>
      </c>
      <c r="B1" s="88"/>
      <c r="C1" s="88"/>
      <c r="D1" s="88"/>
      <c r="E1" s="88"/>
      <c r="F1" s="89"/>
      <c r="I1" s="87" t="s">
        <v>24</v>
      </c>
      <c r="J1" s="88"/>
      <c r="K1" s="88"/>
      <c r="L1" s="88"/>
      <c r="M1" s="88"/>
      <c r="N1" s="89"/>
      <c r="Q1" s="108" t="s">
        <v>28</v>
      </c>
      <c r="R1" s="103"/>
      <c r="S1" s="103"/>
      <c r="T1" s="103"/>
      <c r="U1" s="103"/>
      <c r="V1" s="104"/>
    </row>
    <row r="2" spans="1:22" ht="14.5" customHeight="1" x14ac:dyDescent="0.35">
      <c r="A2" s="90"/>
      <c r="B2" s="91"/>
      <c r="C2" s="91"/>
      <c r="D2" s="91"/>
      <c r="E2" s="91"/>
      <c r="F2" s="92"/>
      <c r="I2" s="90"/>
      <c r="J2" s="91"/>
      <c r="K2" s="91"/>
      <c r="L2" s="91"/>
      <c r="M2" s="91"/>
      <c r="N2" s="92"/>
      <c r="Q2" s="105"/>
      <c r="R2" s="106"/>
      <c r="S2" s="106"/>
      <c r="T2" s="106"/>
      <c r="U2" s="106"/>
      <c r="V2" s="107"/>
    </row>
    <row r="3" spans="1:22" x14ac:dyDescent="0.35">
      <c r="A3" s="93"/>
      <c r="B3" s="94"/>
      <c r="C3" s="94"/>
      <c r="D3" s="94"/>
      <c r="E3" s="94"/>
      <c r="F3" s="95"/>
      <c r="I3" s="93"/>
      <c r="J3" s="94"/>
      <c r="K3" s="94"/>
      <c r="L3" s="94"/>
      <c r="M3" s="94"/>
      <c r="N3" s="95"/>
      <c r="Q3" s="93"/>
      <c r="R3" s="94"/>
      <c r="S3" s="94"/>
      <c r="T3" s="94"/>
      <c r="U3" s="94"/>
      <c r="V3" s="95"/>
    </row>
    <row r="4" spans="1:22" x14ac:dyDescent="0.35">
      <c r="A4" s="93"/>
      <c r="B4" s="94"/>
      <c r="C4" s="94"/>
      <c r="D4" s="94"/>
      <c r="E4" s="94"/>
      <c r="F4" s="95"/>
      <c r="I4" s="93"/>
      <c r="J4" s="94"/>
      <c r="K4" s="94"/>
      <c r="L4" s="94"/>
      <c r="M4" s="94"/>
      <c r="N4" s="95"/>
      <c r="Q4" s="93"/>
      <c r="R4" s="94"/>
      <c r="S4" s="94"/>
      <c r="T4" s="94"/>
      <c r="U4" s="94"/>
      <c r="V4" s="95"/>
    </row>
    <row r="5" spans="1:22" x14ac:dyDescent="0.35">
      <c r="A5" s="96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97" t="s">
        <v>286</v>
      </c>
      <c r="I5" s="96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97" t="s">
        <v>286</v>
      </c>
      <c r="Q5" s="96" t="s">
        <v>210</v>
      </c>
      <c r="R5" s="85" t="s">
        <v>213</v>
      </c>
      <c r="S5" s="85" t="s">
        <v>217</v>
      </c>
      <c r="T5" s="85" t="s">
        <v>221</v>
      </c>
      <c r="U5" s="85" t="s">
        <v>225</v>
      </c>
      <c r="V5" s="97" t="s">
        <v>286</v>
      </c>
    </row>
    <row r="6" spans="1:22" x14ac:dyDescent="0.35">
      <c r="A6" s="98" t="str">
        <f>IF('Skill Index'!AP4=10,'Skill Index'!A4,"")</f>
        <v/>
      </c>
      <c r="B6" s="1" t="str">
        <f>IF('Skill Index'!AP4=9,'Skill Index'!A4,"")</f>
        <v/>
      </c>
      <c r="C6" s="1" t="str">
        <f>IF('Skill Index'!AP4=8,'Skill Index'!A4,"")</f>
        <v/>
      </c>
      <c r="D6" s="1" t="str">
        <f>IF('Skill Index'!AP4=7,'Skill Index'!A4,"")</f>
        <v/>
      </c>
      <c r="E6" s="1" t="str">
        <f>IF('Skill Index'!AP4=6,'Skill Index'!A4,"")</f>
        <v/>
      </c>
      <c r="F6" s="99" t="str">
        <f>IF('Skill Index'!AP4&lt;6,'Skill Index'!A4,"")</f>
        <v>Ankit Rajput</v>
      </c>
      <c r="I6" s="98" t="str">
        <f>IF('Skill Index'!AO4=10,'Skill Index'!A4,"")</f>
        <v/>
      </c>
      <c r="J6" s="1" t="str">
        <f>IF('Skill Index'!AO4=9,'Skill Index'!A4,"")</f>
        <v/>
      </c>
      <c r="K6" s="1" t="str">
        <f>IF('Skill Index'!AO4=8,'Skill Index'!A4,"")</f>
        <v/>
      </c>
      <c r="L6" s="1" t="str">
        <f>IF('Skill Index'!AO4=7,'Skill Index'!A4,"")</f>
        <v/>
      </c>
      <c r="M6" s="1" t="str">
        <f>IF('Skill Index'!AO4=6,'Skill Index'!A4,"")</f>
        <v/>
      </c>
      <c r="N6" s="99" t="str">
        <f>IF('Skill Index'!AO4&lt;6,'Skill Index'!A4,"")</f>
        <v>Ankit Rajput</v>
      </c>
      <c r="Q6" s="98" t="str">
        <f>IF('Skill Index'!AS4=10,'Skill Index'!A4,"")</f>
        <v/>
      </c>
      <c r="R6" s="1" t="str">
        <f>IF('Skill Index'!AS4=9,'Skill Index'!A4,"")</f>
        <v/>
      </c>
      <c r="S6" s="1" t="str">
        <f>IF('Skill Index'!AS4=8,'Skill Index'!A4,"")</f>
        <v/>
      </c>
      <c r="T6" s="1" t="str">
        <f>IF('Skill Index'!AS4=7,'Skill Index'!A4,"")</f>
        <v/>
      </c>
      <c r="U6" s="1" t="str">
        <f>IF('Skill Index'!AS4=6,'Skill Index'!A4,"")</f>
        <v/>
      </c>
      <c r="V6" s="99" t="str">
        <f>IF('Skill Index'!AS4&lt;6,'Skill Index'!A4,"")</f>
        <v>Ankit Rajput</v>
      </c>
    </row>
    <row r="7" spans="1:22" x14ac:dyDescent="0.35">
      <c r="A7" s="98" t="str">
        <f>IF('Skill Index'!AP5=10,'Skill Index'!A5,"")</f>
        <v/>
      </c>
      <c r="B7" s="1" t="str">
        <f>IF('Skill Index'!AP5=9,'Skill Index'!A5,"")</f>
        <v/>
      </c>
      <c r="C7" s="1" t="str">
        <f>IF('Skill Index'!AP5=8,'Skill Index'!A5,"")</f>
        <v/>
      </c>
      <c r="D7" s="1" t="str">
        <f>IF('Skill Index'!AP5=7,'Skill Index'!A5,"")</f>
        <v/>
      </c>
      <c r="E7" s="1" t="str">
        <f>IF('Skill Index'!AP5=6,'Skill Index'!A5,"")</f>
        <v/>
      </c>
      <c r="F7" s="99" t="str">
        <f>IF('Skill Index'!AP5&lt;6,'Skill Index'!A5,"")</f>
        <v>Anusha Gunda</v>
      </c>
      <c r="I7" s="98" t="str">
        <f>IF('Skill Index'!AO5=10,'Skill Index'!A5,"")</f>
        <v/>
      </c>
      <c r="J7" s="1" t="str">
        <f>IF('Skill Index'!AO5=9,'Skill Index'!A5,"")</f>
        <v/>
      </c>
      <c r="K7" s="1" t="str">
        <f>IF('Skill Index'!AO5=8,'Skill Index'!A5,"")</f>
        <v/>
      </c>
      <c r="L7" s="1" t="str">
        <f>IF('Skill Index'!AO5=7,'Skill Index'!A5,"")</f>
        <v/>
      </c>
      <c r="M7" s="1" t="str">
        <f>IF('Skill Index'!AO5=6,'Skill Index'!A5,"")</f>
        <v/>
      </c>
      <c r="N7" s="99" t="str">
        <f>IF('Skill Index'!AO5&lt;6,'Skill Index'!A5,"")</f>
        <v>Anusha Gunda</v>
      </c>
      <c r="Q7" s="98" t="str">
        <f>IF('Skill Index'!AS5=10,'Skill Index'!A5,"")</f>
        <v/>
      </c>
      <c r="R7" s="1" t="str">
        <f>IF('Skill Index'!AS5=9,'Skill Index'!A5,"")</f>
        <v/>
      </c>
      <c r="S7" s="1" t="str">
        <f>IF('Skill Index'!AS5=8,'Skill Index'!A5,"")</f>
        <v/>
      </c>
      <c r="T7" s="1" t="str">
        <f>IF('Skill Index'!AS5=7,'Skill Index'!A5,"")</f>
        <v/>
      </c>
      <c r="U7" s="1" t="str">
        <f>IF('Skill Index'!AS5=6,'Skill Index'!A5,"")</f>
        <v/>
      </c>
      <c r="V7" s="99" t="str">
        <f>IF('Skill Index'!AS5&lt;6,'Skill Index'!A5,"")</f>
        <v>Anusha Gunda</v>
      </c>
    </row>
    <row r="8" spans="1:22" x14ac:dyDescent="0.35">
      <c r="A8" s="98" t="str">
        <f>IF('Skill Index'!AP6=10,'Skill Index'!A6,"")</f>
        <v/>
      </c>
      <c r="B8" s="1" t="str">
        <f>IF('Skill Index'!AP6=9,'Skill Index'!A6,"")</f>
        <v/>
      </c>
      <c r="C8" s="1" t="str">
        <f>IF('Skill Index'!AP6=8,'Skill Index'!A6,"")</f>
        <v/>
      </c>
      <c r="D8" s="1" t="str">
        <f>IF('Skill Index'!AP6=7,'Skill Index'!A6,"")</f>
        <v/>
      </c>
      <c r="E8" s="1" t="str">
        <f>IF('Skill Index'!AP6=6,'Skill Index'!A6,"")</f>
        <v/>
      </c>
      <c r="F8" s="99" t="str">
        <f>IF('Skill Index'!AP6&lt;6,'Skill Index'!A6,"")</f>
        <v>Arun Kumar</v>
      </c>
      <c r="I8" s="98" t="str">
        <f>IF('Skill Index'!AO6=10,'Skill Index'!A6,"")</f>
        <v/>
      </c>
      <c r="J8" s="1" t="str">
        <f>IF('Skill Index'!AO6=9,'Skill Index'!A6,"")</f>
        <v/>
      </c>
      <c r="K8" s="1" t="str">
        <f>IF('Skill Index'!AO6=8,'Skill Index'!A6,"")</f>
        <v/>
      </c>
      <c r="L8" s="1" t="str">
        <f>IF('Skill Index'!AO6=7,'Skill Index'!A6,"")</f>
        <v/>
      </c>
      <c r="M8" s="1" t="str">
        <f>IF('Skill Index'!AO6=6,'Skill Index'!A6,"")</f>
        <v/>
      </c>
      <c r="N8" s="99" t="str">
        <f>IF('Skill Index'!AO6&lt;6,'Skill Index'!A6,"")</f>
        <v>Arun Kumar</v>
      </c>
      <c r="Q8" s="98" t="str">
        <f>IF('Skill Index'!AS6=10,'Skill Index'!A6,"")</f>
        <v/>
      </c>
      <c r="R8" s="1" t="str">
        <f>IF('Skill Index'!AS6=9,'Skill Index'!A6,"")</f>
        <v/>
      </c>
      <c r="S8" s="1" t="str">
        <f>IF('Skill Index'!AS6=8,'Skill Index'!A6,"")</f>
        <v/>
      </c>
      <c r="T8" s="1" t="str">
        <f>IF('Skill Index'!AS6=7,'Skill Index'!A6,"")</f>
        <v/>
      </c>
      <c r="U8" s="1" t="str">
        <f>IF('Skill Index'!AS6=6,'Skill Index'!A6,"")</f>
        <v/>
      </c>
      <c r="V8" s="99" t="str">
        <f>IF('Skill Index'!AS6&lt;6,'Skill Index'!A6,"")</f>
        <v>Arun Kumar</v>
      </c>
    </row>
    <row r="9" spans="1:22" x14ac:dyDescent="0.35">
      <c r="A9" s="98" t="str">
        <f>IF('Skill Index'!AP7=10,'Skill Index'!A7,"")</f>
        <v/>
      </c>
      <c r="B9" s="1" t="str">
        <f>IF('Skill Index'!AP7=9,'Skill Index'!A7,"")</f>
        <v/>
      </c>
      <c r="C9" s="1" t="str">
        <f>IF('Skill Index'!AP7=8,'Skill Index'!A7,"")</f>
        <v/>
      </c>
      <c r="D9" s="1" t="str">
        <f>IF('Skill Index'!AP7=7,'Skill Index'!A7,"")</f>
        <v/>
      </c>
      <c r="E9" s="1" t="str">
        <f>IF('Skill Index'!AP7=6,'Skill Index'!A7,"")</f>
        <v/>
      </c>
      <c r="F9" s="99" t="str">
        <f>IF('Skill Index'!AP7&lt;6,'Skill Index'!A7,"")</f>
        <v>Ashraya H D</v>
      </c>
      <c r="I9" s="98" t="str">
        <f>IF('Skill Index'!AO7=10,'Skill Index'!A7,"")</f>
        <v/>
      </c>
      <c r="J9" s="1" t="str">
        <f>IF('Skill Index'!AO7=9,'Skill Index'!A7,"")</f>
        <v/>
      </c>
      <c r="K9" s="1" t="str">
        <f>IF('Skill Index'!AO7=8,'Skill Index'!A7,"")</f>
        <v/>
      </c>
      <c r="L9" s="1" t="str">
        <f>IF('Skill Index'!AO7=7,'Skill Index'!A7,"")</f>
        <v>Ashraya H D</v>
      </c>
      <c r="M9" s="1" t="str">
        <f>IF('Skill Index'!AO7=6,'Skill Index'!A7,"")</f>
        <v/>
      </c>
      <c r="N9" s="99" t="str">
        <f>IF('Skill Index'!AO7&lt;6,'Skill Index'!A7,"")</f>
        <v/>
      </c>
      <c r="Q9" s="98" t="str">
        <f>IF('Skill Index'!AS7=10,'Skill Index'!A7,"")</f>
        <v/>
      </c>
      <c r="R9" s="1" t="str">
        <f>IF('Skill Index'!AS7=9,'Skill Index'!A7,"")</f>
        <v/>
      </c>
      <c r="S9" s="1" t="str">
        <f>IF('Skill Index'!AS7=8,'Skill Index'!A7,"")</f>
        <v/>
      </c>
      <c r="T9" s="1" t="str">
        <f>IF('Skill Index'!AS7=7,'Skill Index'!A7,"")</f>
        <v/>
      </c>
      <c r="U9" s="1" t="str">
        <f>IF('Skill Index'!AS7=6,'Skill Index'!A7,"")</f>
        <v/>
      </c>
      <c r="V9" s="99" t="str">
        <f>IF('Skill Index'!AS7&lt;6,'Skill Index'!A7,"")</f>
        <v>Ashraya H D</v>
      </c>
    </row>
    <row r="10" spans="1:22" x14ac:dyDescent="0.35">
      <c r="A10" s="98" t="str">
        <f>IF('Skill Index'!AP8=10,'Skill Index'!A8,"")</f>
        <v/>
      </c>
      <c r="B10" s="1" t="str">
        <f>IF('Skill Index'!AP8=9,'Skill Index'!A8,"")</f>
        <v/>
      </c>
      <c r="C10" s="1" t="str">
        <f>IF('Skill Index'!AP8=8,'Skill Index'!A8,"")</f>
        <v/>
      </c>
      <c r="D10" s="1" t="str">
        <f>IF('Skill Index'!AP8=7,'Skill Index'!A8,"")</f>
        <v/>
      </c>
      <c r="E10" s="1" t="str">
        <f>IF('Skill Index'!AP8=6,'Skill Index'!A8,"")</f>
        <v/>
      </c>
      <c r="F10" s="99" t="str">
        <f>IF('Skill Index'!AP8&lt;6,'Skill Index'!A8,"")</f>
        <v>Jeet Doshi</v>
      </c>
      <c r="I10" s="98" t="str">
        <f>IF('Skill Index'!AO8=10,'Skill Index'!A8,"")</f>
        <v/>
      </c>
      <c r="J10" s="1" t="str">
        <f>IF('Skill Index'!AO8=9,'Skill Index'!A8,"")</f>
        <v/>
      </c>
      <c r="K10" s="1" t="str">
        <f>IF('Skill Index'!AO8=8,'Skill Index'!A8,"")</f>
        <v/>
      </c>
      <c r="L10" s="1" t="str">
        <f>IF('Skill Index'!AO8=7,'Skill Index'!A8,"")</f>
        <v/>
      </c>
      <c r="M10" s="1" t="str">
        <f>IF('Skill Index'!AO8=6,'Skill Index'!A8,"")</f>
        <v/>
      </c>
      <c r="N10" s="99" t="str">
        <f>IF('Skill Index'!AO8&lt;6,'Skill Index'!A8,"")</f>
        <v>Jeet Doshi</v>
      </c>
      <c r="Q10" s="98" t="str">
        <f>IF('Skill Index'!AS8=10,'Skill Index'!A8,"")</f>
        <v/>
      </c>
      <c r="R10" s="1" t="str">
        <f>IF('Skill Index'!AS8=9,'Skill Index'!A8,"")</f>
        <v/>
      </c>
      <c r="S10" s="1" t="str">
        <f>IF('Skill Index'!AS8=8,'Skill Index'!A8,"")</f>
        <v/>
      </c>
      <c r="T10" s="1" t="str">
        <f>IF('Skill Index'!AS8=7,'Skill Index'!A8,"")</f>
        <v/>
      </c>
      <c r="U10" s="1" t="str">
        <f>IF('Skill Index'!AS8=6,'Skill Index'!A8,"")</f>
        <v/>
      </c>
      <c r="V10" s="99" t="str">
        <f>IF('Skill Index'!AS8&lt;6,'Skill Index'!A8,"")</f>
        <v>Jeet Doshi</v>
      </c>
    </row>
    <row r="11" spans="1:22" x14ac:dyDescent="0.35">
      <c r="A11" s="98" t="str">
        <f>IF('Skill Index'!AP9=10,'Skill Index'!A9,"")</f>
        <v/>
      </c>
      <c r="B11" s="1" t="str">
        <f>IF('Skill Index'!AP9=9,'Skill Index'!A9,"")</f>
        <v/>
      </c>
      <c r="C11" s="1" t="str">
        <f>IF('Skill Index'!AP9=8,'Skill Index'!A9,"")</f>
        <v/>
      </c>
      <c r="D11" s="1" t="str">
        <f>IF('Skill Index'!AP9=7,'Skill Index'!A9,"")</f>
        <v/>
      </c>
      <c r="E11" s="1" t="str">
        <f>IF('Skill Index'!AP9=6,'Skill Index'!A9,"")</f>
        <v/>
      </c>
      <c r="F11" s="99" t="str">
        <f>IF('Skill Index'!AP9&lt;6,'Skill Index'!A9,"")</f>
        <v>Mahesh Kumar</v>
      </c>
      <c r="I11" s="98" t="str">
        <f>IF('Skill Index'!AO9=10,'Skill Index'!A9,"")</f>
        <v/>
      </c>
      <c r="J11" s="1" t="str">
        <f>IF('Skill Index'!AO9=9,'Skill Index'!A9,"")</f>
        <v/>
      </c>
      <c r="K11" s="1" t="str">
        <f>IF('Skill Index'!AO9=8,'Skill Index'!A9,"")</f>
        <v/>
      </c>
      <c r="L11" s="1" t="str">
        <f>IF('Skill Index'!AO9=7,'Skill Index'!A9,"")</f>
        <v/>
      </c>
      <c r="M11" s="1" t="str">
        <f>IF('Skill Index'!AO9=6,'Skill Index'!A9,"")</f>
        <v/>
      </c>
      <c r="N11" s="99" t="str">
        <f>IF('Skill Index'!AO9&lt;6,'Skill Index'!A9,"")</f>
        <v>Mahesh Kumar</v>
      </c>
      <c r="Q11" s="98" t="str">
        <f>IF('Skill Index'!AS9=10,'Skill Index'!A9,"")</f>
        <v/>
      </c>
      <c r="R11" s="1" t="str">
        <f>IF('Skill Index'!AS9=9,'Skill Index'!A9,"")</f>
        <v/>
      </c>
      <c r="S11" s="1" t="str">
        <f>IF('Skill Index'!AS9=8,'Skill Index'!A9,"")</f>
        <v/>
      </c>
      <c r="T11" s="1" t="str">
        <f>IF('Skill Index'!AS9=7,'Skill Index'!A9,"")</f>
        <v/>
      </c>
      <c r="U11" s="1" t="str">
        <f>IF('Skill Index'!AS9=6,'Skill Index'!A9,"")</f>
        <v/>
      </c>
      <c r="V11" s="99" t="str">
        <f>IF('Skill Index'!AS9&lt;6,'Skill Index'!A9,"")</f>
        <v>Mahesh Kumar</v>
      </c>
    </row>
    <row r="12" spans="1:22" x14ac:dyDescent="0.35">
      <c r="A12" s="98" t="str">
        <f>IF('Skill Index'!AP10=10,'Skill Index'!A10,"")</f>
        <v/>
      </c>
      <c r="B12" s="1" t="str">
        <f>IF('Skill Index'!AP10=9,'Skill Index'!A10,"")</f>
        <v/>
      </c>
      <c r="C12" s="1" t="str">
        <f>IF('Skill Index'!AP10=8,'Skill Index'!A10,"")</f>
        <v/>
      </c>
      <c r="D12" s="1" t="str">
        <f>IF('Skill Index'!AP10=7,'Skill Index'!A10,"")</f>
        <v/>
      </c>
      <c r="E12" s="1" t="str">
        <f>IF('Skill Index'!AP10=6,'Skill Index'!A10,"")</f>
        <v/>
      </c>
      <c r="F12" s="99" t="str">
        <f>IF('Skill Index'!AP10&lt;6,'Skill Index'!A10,"")</f>
        <v>Nilekha Repaka</v>
      </c>
      <c r="I12" s="98" t="str">
        <f>IF('Skill Index'!AO10=10,'Skill Index'!A10,"")</f>
        <v/>
      </c>
      <c r="J12" s="1" t="str">
        <f>IF('Skill Index'!AO10=9,'Skill Index'!A10,"")</f>
        <v/>
      </c>
      <c r="K12" s="1" t="str">
        <f>IF('Skill Index'!AO10=8,'Skill Index'!A10,"")</f>
        <v/>
      </c>
      <c r="L12" s="1" t="str">
        <f>IF('Skill Index'!AO10=7,'Skill Index'!A10,"")</f>
        <v/>
      </c>
      <c r="M12" s="1" t="str">
        <f>IF('Skill Index'!AO10=6,'Skill Index'!A10,"")</f>
        <v/>
      </c>
      <c r="N12" s="99" t="str">
        <f>IF('Skill Index'!AO10&lt;6,'Skill Index'!A10,"")</f>
        <v>Nilekha Repaka</v>
      </c>
      <c r="Q12" s="98" t="str">
        <f>IF('Skill Index'!AS10=10,'Skill Index'!A10,"")</f>
        <v/>
      </c>
      <c r="R12" s="1" t="str">
        <f>IF('Skill Index'!AS10=9,'Skill Index'!A10,"")</f>
        <v/>
      </c>
      <c r="S12" s="1" t="str">
        <f>IF('Skill Index'!AS10=8,'Skill Index'!A10,"")</f>
        <v/>
      </c>
      <c r="T12" s="1" t="str">
        <f>IF('Skill Index'!AS10=7,'Skill Index'!A10,"")</f>
        <v/>
      </c>
      <c r="U12" s="1" t="str">
        <f>IF('Skill Index'!AS10=6,'Skill Index'!A10,"")</f>
        <v/>
      </c>
      <c r="V12" s="99" t="str">
        <f>IF('Skill Index'!AS10&lt;6,'Skill Index'!A10,"")</f>
        <v>Nilekha Repaka</v>
      </c>
    </row>
    <row r="13" spans="1:22" x14ac:dyDescent="0.35">
      <c r="A13" s="98" t="str">
        <f>IF('Skill Index'!AP11=10,'Skill Index'!A11,"")</f>
        <v/>
      </c>
      <c r="B13" s="1" t="str">
        <f>IF('Skill Index'!AP11=9,'Skill Index'!A11,"")</f>
        <v/>
      </c>
      <c r="C13" s="1" t="str">
        <f>IF('Skill Index'!AP11=8,'Skill Index'!A11,"")</f>
        <v/>
      </c>
      <c r="D13" s="1" t="str">
        <f>IF('Skill Index'!AP11=7,'Skill Index'!A11,"")</f>
        <v/>
      </c>
      <c r="E13" s="1" t="str">
        <f>IF('Skill Index'!AP11=6,'Skill Index'!A11,"")</f>
        <v/>
      </c>
      <c r="F13" s="99" t="str">
        <f>IF('Skill Index'!AP11&lt;6,'Skill Index'!A11,"")</f>
        <v>Pawan Rathore</v>
      </c>
      <c r="I13" s="98" t="str">
        <f>IF('Skill Index'!AO11=10,'Skill Index'!A11,"")</f>
        <v/>
      </c>
      <c r="J13" s="1" t="str">
        <f>IF('Skill Index'!AO11=9,'Skill Index'!A11,"")</f>
        <v/>
      </c>
      <c r="K13" s="1" t="str">
        <f>IF('Skill Index'!AO11=8,'Skill Index'!A11,"")</f>
        <v/>
      </c>
      <c r="L13" s="1" t="str">
        <f>IF('Skill Index'!AO11=7,'Skill Index'!A11,"")</f>
        <v/>
      </c>
      <c r="M13" s="1" t="str">
        <f>IF('Skill Index'!AO11=6,'Skill Index'!A11,"")</f>
        <v/>
      </c>
      <c r="N13" s="99" t="str">
        <f>IF('Skill Index'!AO11&lt;6,'Skill Index'!A11,"")</f>
        <v>Pawan Rathore</v>
      </c>
      <c r="Q13" s="98" t="str">
        <f>IF('Skill Index'!AS11=10,'Skill Index'!A11,"")</f>
        <v/>
      </c>
      <c r="R13" s="1" t="str">
        <f>IF('Skill Index'!AS11=9,'Skill Index'!A11,"")</f>
        <v/>
      </c>
      <c r="S13" s="1" t="str">
        <f>IF('Skill Index'!AS11=8,'Skill Index'!A11,"")</f>
        <v/>
      </c>
      <c r="T13" s="1" t="str">
        <f>IF('Skill Index'!AS11=7,'Skill Index'!A11,"")</f>
        <v/>
      </c>
      <c r="U13" s="1" t="str">
        <f>IF('Skill Index'!AS11=6,'Skill Index'!A11,"")</f>
        <v/>
      </c>
      <c r="V13" s="99" t="str">
        <f>IF('Skill Index'!AS11&lt;6,'Skill Index'!A11,"")</f>
        <v>Pawan Rathore</v>
      </c>
    </row>
    <row r="14" spans="1:22" x14ac:dyDescent="0.35">
      <c r="A14" s="98" t="str">
        <f>IF('Skill Index'!AP12=10,'Skill Index'!A12,"")</f>
        <v/>
      </c>
      <c r="B14" s="1" t="str">
        <f>IF('Skill Index'!AP12=9,'Skill Index'!A12,"")</f>
        <v/>
      </c>
      <c r="C14" s="1" t="str">
        <f>IF('Skill Index'!AP12=8,'Skill Index'!A12,"")</f>
        <v/>
      </c>
      <c r="D14" s="1" t="str">
        <f>IF('Skill Index'!AP12=7,'Skill Index'!A12,"")</f>
        <v/>
      </c>
      <c r="E14" s="1" t="str">
        <f>IF('Skill Index'!AP12=6,'Skill Index'!A12,"")</f>
        <v/>
      </c>
      <c r="F14" s="99" t="str">
        <f>IF('Skill Index'!AP12&lt;6,'Skill Index'!A12,"")</f>
        <v>Priyesh Tiwari</v>
      </c>
      <c r="I14" s="98" t="str">
        <f>IF('Skill Index'!AO12=10,'Skill Index'!A12,"")</f>
        <v/>
      </c>
      <c r="J14" s="1" t="str">
        <f>IF('Skill Index'!AO12=9,'Skill Index'!A12,"")</f>
        <v/>
      </c>
      <c r="K14" s="1" t="str">
        <f>IF('Skill Index'!AO12=8,'Skill Index'!A12,"")</f>
        <v/>
      </c>
      <c r="L14" s="1" t="str">
        <f>IF('Skill Index'!AO12=7,'Skill Index'!A12,"")</f>
        <v/>
      </c>
      <c r="M14" s="1" t="str">
        <f>IF('Skill Index'!AO12=6,'Skill Index'!A12,"")</f>
        <v>Priyesh Tiwari</v>
      </c>
      <c r="N14" s="99" t="str">
        <f>IF('Skill Index'!AO12&lt;6,'Skill Index'!A12,"")</f>
        <v/>
      </c>
      <c r="Q14" s="98" t="str">
        <f>IF('Skill Index'!AS12=10,'Skill Index'!A12,"")</f>
        <v/>
      </c>
      <c r="R14" s="1" t="str">
        <f>IF('Skill Index'!AS12=9,'Skill Index'!A12,"")</f>
        <v/>
      </c>
      <c r="S14" s="1" t="str">
        <f>IF('Skill Index'!AS12=8,'Skill Index'!A12,"")</f>
        <v/>
      </c>
      <c r="T14" s="1" t="str">
        <f>IF('Skill Index'!AS12=7,'Skill Index'!A12,"")</f>
        <v/>
      </c>
      <c r="U14" s="1" t="str">
        <f>IF('Skill Index'!AS12=6,'Skill Index'!A12,"")</f>
        <v/>
      </c>
      <c r="V14" s="99" t="str">
        <f>IF('Skill Index'!AS12&lt;6,'Skill Index'!A12,"")</f>
        <v>Priyesh Tiwari</v>
      </c>
    </row>
    <row r="15" spans="1:22" x14ac:dyDescent="0.35">
      <c r="A15" s="98" t="str">
        <f>IF('Skill Index'!AP13=10,'Skill Index'!A13,"")</f>
        <v/>
      </c>
      <c r="B15" s="1" t="str">
        <f>IF('Skill Index'!AP13=9,'Skill Index'!A13,"")</f>
        <v/>
      </c>
      <c r="C15" s="1" t="str">
        <f>IF('Skill Index'!AP13=8,'Skill Index'!A13,"")</f>
        <v/>
      </c>
      <c r="D15" s="1" t="str">
        <f>IF('Skill Index'!AP13=7,'Skill Index'!A13,"")</f>
        <v/>
      </c>
      <c r="E15" s="1" t="str">
        <f>IF('Skill Index'!AP13=6,'Skill Index'!A13,"")</f>
        <v/>
      </c>
      <c r="F15" s="99" t="str">
        <f>IF('Skill Index'!AP13&lt;6,'Skill Index'!A13,"")</f>
        <v>Rahul Kumar</v>
      </c>
      <c r="I15" s="98" t="str">
        <f>IF('Skill Index'!AO13=10,'Skill Index'!A13,"")</f>
        <v/>
      </c>
      <c r="J15" s="1" t="str">
        <f>IF('Skill Index'!AO13=9,'Skill Index'!A13,"")</f>
        <v/>
      </c>
      <c r="K15" s="1" t="str">
        <f>IF('Skill Index'!AO13=8,'Skill Index'!A13,"")</f>
        <v/>
      </c>
      <c r="L15" s="1" t="str">
        <f>IF('Skill Index'!AO13=7,'Skill Index'!A13,"")</f>
        <v/>
      </c>
      <c r="M15" s="1" t="str">
        <f>IF('Skill Index'!AO13=6,'Skill Index'!A13,"")</f>
        <v>Rahul Kumar</v>
      </c>
      <c r="N15" s="99" t="str">
        <f>IF('Skill Index'!AO13&lt;6,'Skill Index'!A13,"")</f>
        <v/>
      </c>
      <c r="Q15" s="98" t="str">
        <f>IF('Skill Index'!AS13=10,'Skill Index'!A13,"")</f>
        <v/>
      </c>
      <c r="R15" s="1" t="str">
        <f>IF('Skill Index'!AS13=9,'Skill Index'!A13,"")</f>
        <v/>
      </c>
      <c r="S15" s="1" t="str">
        <f>IF('Skill Index'!AS13=8,'Skill Index'!A13,"")</f>
        <v/>
      </c>
      <c r="T15" s="1" t="str">
        <f>IF('Skill Index'!AS13=7,'Skill Index'!A13,"")</f>
        <v/>
      </c>
      <c r="U15" s="1" t="str">
        <f>IF('Skill Index'!AS13=6,'Skill Index'!A13,"")</f>
        <v/>
      </c>
      <c r="V15" s="99" t="str">
        <f>IF('Skill Index'!AS13&lt;6,'Skill Index'!A13,"")</f>
        <v>Rahul Kumar</v>
      </c>
    </row>
    <row r="16" spans="1:22" x14ac:dyDescent="0.35">
      <c r="A16" s="98" t="str">
        <f>IF('Skill Index'!AP14=10,'Skill Index'!A14,"")</f>
        <v/>
      </c>
      <c r="B16" s="1" t="str">
        <f>IF('Skill Index'!AP14=9,'Skill Index'!A14,"")</f>
        <v/>
      </c>
      <c r="C16" s="1" t="str">
        <f>IF('Skill Index'!AP14=8,'Skill Index'!A14,"")</f>
        <v/>
      </c>
      <c r="D16" s="1" t="str">
        <f>IF('Skill Index'!AP14=7,'Skill Index'!A14,"")</f>
        <v/>
      </c>
      <c r="E16" s="1" t="str">
        <f>IF('Skill Index'!AP14=6,'Skill Index'!A14,"")</f>
        <v>Ramkrishna Kadiya</v>
      </c>
      <c r="F16" s="99" t="str">
        <f>IF('Skill Index'!AP14&lt;6,'Skill Index'!A14,"")</f>
        <v/>
      </c>
      <c r="I16" s="98" t="str">
        <f>IF('Skill Index'!AO14=10,'Skill Index'!A14,"")</f>
        <v/>
      </c>
      <c r="J16" s="1" t="str">
        <f>IF('Skill Index'!AO14=9,'Skill Index'!A14,"")</f>
        <v/>
      </c>
      <c r="K16" s="1" t="str">
        <f>IF('Skill Index'!AO14=8,'Skill Index'!A14,"")</f>
        <v/>
      </c>
      <c r="L16" s="1" t="str">
        <f>IF('Skill Index'!AO14=7,'Skill Index'!A14,"")</f>
        <v/>
      </c>
      <c r="M16" s="1" t="str">
        <f>IF('Skill Index'!AO14=6,'Skill Index'!A14,"")</f>
        <v>Ramkrishna Kadiya</v>
      </c>
      <c r="N16" s="99" t="str">
        <f>IF('Skill Index'!AO14&lt;6,'Skill Index'!A14,"")</f>
        <v/>
      </c>
      <c r="Q16" s="98" t="str">
        <f>IF('Skill Index'!AS14=10,'Skill Index'!A14,"")</f>
        <v/>
      </c>
      <c r="R16" s="1" t="str">
        <f>IF('Skill Index'!AS14=9,'Skill Index'!A14,"")</f>
        <v/>
      </c>
      <c r="S16" s="1" t="str">
        <f>IF('Skill Index'!AS14=8,'Skill Index'!A14,"")</f>
        <v/>
      </c>
      <c r="T16" s="1" t="str">
        <f>IF('Skill Index'!AS14=7,'Skill Index'!A14,"")</f>
        <v/>
      </c>
      <c r="U16" s="1" t="str">
        <f>IF('Skill Index'!AS14=6,'Skill Index'!A14,"")</f>
        <v/>
      </c>
      <c r="V16" s="99" t="str">
        <f>IF('Skill Index'!AS14&lt;6,'Skill Index'!A14,"")</f>
        <v>Ramkrishna Kadiya</v>
      </c>
    </row>
    <row r="17" spans="1:22" x14ac:dyDescent="0.35">
      <c r="A17" s="98" t="str">
        <f>IF('Skill Index'!AP15=10,'Skill Index'!A15,"")</f>
        <v/>
      </c>
      <c r="B17" s="1" t="str">
        <f>IF('Skill Index'!AP15=9,'Skill Index'!A15,"")</f>
        <v/>
      </c>
      <c r="C17" s="1" t="str">
        <f>IF('Skill Index'!AP15=8,'Skill Index'!A15,"")</f>
        <v/>
      </c>
      <c r="D17" s="1" t="str">
        <f>IF('Skill Index'!AP15=7,'Skill Index'!A15,"")</f>
        <v/>
      </c>
      <c r="E17" s="1" t="str">
        <f>IF('Skill Index'!AP15=6,'Skill Index'!A15,"")</f>
        <v/>
      </c>
      <c r="F17" s="99" t="str">
        <f>IF('Skill Index'!AP15&lt;6,'Skill Index'!A15,"")</f>
        <v>Revanth Anguluri</v>
      </c>
      <c r="I17" s="98" t="str">
        <f>IF('Skill Index'!AO15=10,'Skill Index'!A15,"")</f>
        <v/>
      </c>
      <c r="J17" s="1" t="str">
        <f>IF('Skill Index'!AO15=9,'Skill Index'!A15,"")</f>
        <v/>
      </c>
      <c r="K17" s="1" t="str">
        <f>IF('Skill Index'!AO15=8,'Skill Index'!A15,"")</f>
        <v/>
      </c>
      <c r="L17" s="1" t="str">
        <f>IF('Skill Index'!AO15=7,'Skill Index'!A15,"")</f>
        <v/>
      </c>
      <c r="M17" s="1" t="str">
        <f>IF('Skill Index'!AO15=6,'Skill Index'!A15,"")</f>
        <v/>
      </c>
      <c r="N17" s="99" t="str">
        <f>IF('Skill Index'!AO15&lt;6,'Skill Index'!A15,"")</f>
        <v>Revanth Anguluri</v>
      </c>
      <c r="Q17" s="98" t="str">
        <f>IF('Skill Index'!AS15=10,'Skill Index'!A15,"")</f>
        <v/>
      </c>
      <c r="R17" s="1" t="str">
        <f>IF('Skill Index'!AS15=9,'Skill Index'!A15,"")</f>
        <v/>
      </c>
      <c r="S17" s="1" t="str">
        <f>IF('Skill Index'!AS15=8,'Skill Index'!A15,"")</f>
        <v/>
      </c>
      <c r="T17" s="1" t="str">
        <f>IF('Skill Index'!AS15=7,'Skill Index'!A15,"")</f>
        <v/>
      </c>
      <c r="U17" s="1" t="str">
        <f>IF('Skill Index'!AS15=6,'Skill Index'!A15,"")</f>
        <v/>
      </c>
      <c r="V17" s="99" t="str">
        <f>IF('Skill Index'!AS15&lt;6,'Skill Index'!A15,"")</f>
        <v>Revanth Anguluri</v>
      </c>
    </row>
    <row r="18" spans="1:22" x14ac:dyDescent="0.35">
      <c r="A18" s="98" t="str">
        <f>IF('Skill Index'!AP16=10,'Skill Index'!A16,"")</f>
        <v/>
      </c>
      <c r="B18" s="1" t="str">
        <f>IF('Skill Index'!AP16=9,'Skill Index'!A16,"")</f>
        <v/>
      </c>
      <c r="C18" s="1" t="str">
        <f>IF('Skill Index'!AP16=8,'Skill Index'!A16,"")</f>
        <v/>
      </c>
      <c r="D18" s="1" t="str">
        <f>IF('Skill Index'!AP16=7,'Skill Index'!A16,"")</f>
        <v/>
      </c>
      <c r="E18" s="1" t="str">
        <f>IF('Skill Index'!AP16=6,'Skill Index'!A16,"")</f>
        <v>Sagar Sable</v>
      </c>
      <c r="F18" s="99" t="str">
        <f>IF('Skill Index'!AP16&lt;6,'Skill Index'!A16,"")</f>
        <v/>
      </c>
      <c r="I18" s="98" t="str">
        <f>IF('Skill Index'!AO16=10,'Skill Index'!A16,"")</f>
        <v/>
      </c>
      <c r="J18" s="1" t="str">
        <f>IF('Skill Index'!AO16=9,'Skill Index'!A16,"")</f>
        <v/>
      </c>
      <c r="K18" s="1" t="str">
        <f>IF('Skill Index'!AO16=8,'Skill Index'!A16,"")</f>
        <v>Sagar Sable</v>
      </c>
      <c r="L18" s="1" t="str">
        <f>IF('Skill Index'!AO16=7,'Skill Index'!A16,"")</f>
        <v/>
      </c>
      <c r="M18" s="1" t="str">
        <f>IF('Skill Index'!AO16=6,'Skill Index'!A16,"")</f>
        <v/>
      </c>
      <c r="N18" s="99" t="str">
        <f>IF('Skill Index'!AO16&lt;6,'Skill Index'!A16,"")</f>
        <v/>
      </c>
      <c r="Q18" s="98" t="str">
        <f>IF('Skill Index'!AS16=10,'Skill Index'!A16,"")</f>
        <v/>
      </c>
      <c r="R18" s="1" t="str">
        <f>IF('Skill Index'!AS16=9,'Skill Index'!A16,"")</f>
        <v/>
      </c>
      <c r="S18" s="1" t="str">
        <f>IF('Skill Index'!AS16=8,'Skill Index'!A16,"")</f>
        <v/>
      </c>
      <c r="T18" s="1" t="str">
        <f>IF('Skill Index'!AS16=7,'Skill Index'!A16,"")</f>
        <v/>
      </c>
      <c r="U18" s="1" t="str">
        <f>IF('Skill Index'!AS16=6,'Skill Index'!A16,"")</f>
        <v/>
      </c>
      <c r="V18" s="99" t="str">
        <f>IF('Skill Index'!AS16&lt;6,'Skill Index'!A16,"")</f>
        <v>Sagar Sable</v>
      </c>
    </row>
    <row r="19" spans="1:22" x14ac:dyDescent="0.35">
      <c r="A19" s="98" t="str">
        <f>IF('Skill Index'!AP17=10,'Skill Index'!A17,"")</f>
        <v/>
      </c>
      <c r="B19" s="1" t="str">
        <f>IF('Skill Index'!AP17=9,'Skill Index'!A17,"")</f>
        <v/>
      </c>
      <c r="C19" s="1" t="str">
        <f>IF('Skill Index'!AP17=8,'Skill Index'!A17,"")</f>
        <v/>
      </c>
      <c r="D19" s="1" t="str">
        <f>IF('Skill Index'!AP17=7,'Skill Index'!A17,"")</f>
        <v/>
      </c>
      <c r="E19" s="1" t="str">
        <f>IF('Skill Index'!AP17=6,'Skill Index'!A17,"")</f>
        <v>Shreya Ramprakash</v>
      </c>
      <c r="F19" s="99" t="str">
        <f>IF('Skill Index'!AP17&lt;6,'Skill Index'!A17,"")</f>
        <v/>
      </c>
      <c r="I19" s="98" t="str">
        <f>IF('Skill Index'!AO17=10,'Skill Index'!A17,"")</f>
        <v/>
      </c>
      <c r="J19" s="1" t="str">
        <f>IF('Skill Index'!AO17=9,'Skill Index'!A17,"")</f>
        <v/>
      </c>
      <c r="K19" s="1" t="str">
        <f>IF('Skill Index'!AO17=8,'Skill Index'!A17,"")</f>
        <v/>
      </c>
      <c r="L19" s="1" t="str">
        <f>IF('Skill Index'!AO17=7,'Skill Index'!A17,"")</f>
        <v/>
      </c>
      <c r="M19" s="1" t="str">
        <f>IF('Skill Index'!AO17=6,'Skill Index'!A17,"")</f>
        <v/>
      </c>
      <c r="N19" s="99" t="str">
        <f>IF('Skill Index'!AO17&lt;6,'Skill Index'!A17,"")</f>
        <v>Shreya Ramprakash</v>
      </c>
      <c r="Q19" s="98" t="str">
        <f>IF('Skill Index'!AS17=10,'Skill Index'!A17,"")</f>
        <v/>
      </c>
      <c r="R19" s="1" t="str">
        <f>IF('Skill Index'!AS17=9,'Skill Index'!A17,"")</f>
        <v/>
      </c>
      <c r="S19" s="1" t="str">
        <f>IF('Skill Index'!AS17=8,'Skill Index'!A17,"")</f>
        <v/>
      </c>
      <c r="T19" s="1" t="str">
        <f>IF('Skill Index'!AS17=7,'Skill Index'!A17,"")</f>
        <v/>
      </c>
      <c r="U19" s="1" t="str">
        <f>IF('Skill Index'!AS17=6,'Skill Index'!A17,"")</f>
        <v/>
      </c>
      <c r="V19" s="99" t="str">
        <f>IF('Skill Index'!AS17&lt;6,'Skill Index'!A17,"")</f>
        <v>Shreya Ramprakash</v>
      </c>
    </row>
    <row r="20" spans="1:22" x14ac:dyDescent="0.35">
      <c r="A20" s="98" t="str">
        <f>IF('Skill Index'!AP18=10,'Skill Index'!A18,"")</f>
        <v/>
      </c>
      <c r="B20" s="1" t="str">
        <f>IF('Skill Index'!AP18=9,'Skill Index'!A18,"")</f>
        <v/>
      </c>
      <c r="C20" s="1" t="str">
        <f>IF('Skill Index'!AP18=8,'Skill Index'!A18,"")</f>
        <v/>
      </c>
      <c r="D20" s="1" t="str">
        <f>IF('Skill Index'!AP18=7,'Skill Index'!A18,"")</f>
        <v>Shreyas Risodkar</v>
      </c>
      <c r="E20" s="1" t="str">
        <f>IF('Skill Index'!AP18=6,'Skill Index'!A18,"")</f>
        <v/>
      </c>
      <c r="F20" s="99" t="str">
        <f>IF('Skill Index'!AP18&lt;6,'Skill Index'!A18,"")</f>
        <v/>
      </c>
      <c r="I20" s="98" t="str">
        <f>IF('Skill Index'!AO18=10,'Skill Index'!A18,"")</f>
        <v/>
      </c>
      <c r="J20" s="1" t="str">
        <f>IF('Skill Index'!AO18=9,'Skill Index'!A18,"")</f>
        <v/>
      </c>
      <c r="K20" s="1" t="str">
        <f>IF('Skill Index'!AO18=8,'Skill Index'!A18,"")</f>
        <v/>
      </c>
      <c r="L20" s="1" t="str">
        <f>IF('Skill Index'!AO18=7,'Skill Index'!A18,"")</f>
        <v/>
      </c>
      <c r="M20" s="1" t="str">
        <f>IF('Skill Index'!AO18=6,'Skill Index'!A18,"")</f>
        <v/>
      </c>
      <c r="N20" s="99" t="str">
        <f>IF('Skill Index'!AO18&lt;6,'Skill Index'!A18,"")</f>
        <v>Shreyas Risodkar</v>
      </c>
      <c r="Q20" s="98" t="str">
        <f>IF('Skill Index'!AS18=10,'Skill Index'!A18,"")</f>
        <v/>
      </c>
      <c r="R20" s="1" t="str">
        <f>IF('Skill Index'!AS18=9,'Skill Index'!A18,"")</f>
        <v/>
      </c>
      <c r="S20" s="1" t="str">
        <f>IF('Skill Index'!AS18=8,'Skill Index'!A18,"")</f>
        <v/>
      </c>
      <c r="T20" s="1" t="str">
        <f>IF('Skill Index'!AS18=7,'Skill Index'!A18,"")</f>
        <v/>
      </c>
      <c r="U20" s="1" t="str">
        <f>IF('Skill Index'!AS18=6,'Skill Index'!A18,"")</f>
        <v/>
      </c>
      <c r="V20" s="99" t="str">
        <f>IF('Skill Index'!AS18&lt;6,'Skill Index'!A18,"")</f>
        <v>Shreyas Risodkar</v>
      </c>
    </row>
    <row r="21" spans="1:22" x14ac:dyDescent="0.35">
      <c r="A21" s="98" t="str">
        <f>IF('Skill Index'!AP19=10,'Skill Index'!A19,"")</f>
        <v/>
      </c>
      <c r="B21" s="1" t="str">
        <f>IF('Skill Index'!AP19=9,'Skill Index'!A19,"")</f>
        <v/>
      </c>
      <c r="C21" s="1" t="str">
        <f>IF('Skill Index'!AP19=8,'Skill Index'!A19,"")</f>
        <v/>
      </c>
      <c r="D21" s="1" t="str">
        <f>IF('Skill Index'!AP19=7,'Skill Index'!A19,"")</f>
        <v>Srikirti Raj</v>
      </c>
      <c r="E21" s="1" t="str">
        <f>IF('Skill Index'!AP19=6,'Skill Index'!A19,"")</f>
        <v/>
      </c>
      <c r="F21" s="99" t="str">
        <f>IF('Skill Index'!AP19&lt;6,'Skill Index'!A19,"")</f>
        <v/>
      </c>
      <c r="I21" s="98" t="str">
        <f>IF('Skill Index'!AO19=10,'Skill Index'!A19,"")</f>
        <v/>
      </c>
      <c r="J21" s="1" t="str">
        <f>IF('Skill Index'!AO19=9,'Skill Index'!A19,"")</f>
        <v/>
      </c>
      <c r="K21" s="1" t="str">
        <f>IF('Skill Index'!AO19=8,'Skill Index'!A19,"")</f>
        <v/>
      </c>
      <c r="L21" s="1" t="str">
        <f>IF('Skill Index'!AO19=7,'Skill Index'!A19,"")</f>
        <v>Srikirti Raj</v>
      </c>
      <c r="M21" s="1" t="str">
        <f>IF('Skill Index'!AO19=6,'Skill Index'!A19,"")</f>
        <v/>
      </c>
      <c r="N21" s="99" t="str">
        <f>IF('Skill Index'!AO19&lt;6,'Skill Index'!A19,"")</f>
        <v/>
      </c>
      <c r="Q21" s="98" t="str">
        <f>IF('Skill Index'!AS19=10,'Skill Index'!A19,"")</f>
        <v/>
      </c>
      <c r="R21" s="1" t="str">
        <f>IF('Skill Index'!AS19=9,'Skill Index'!A19,"")</f>
        <v/>
      </c>
      <c r="S21" s="1" t="str">
        <f>IF('Skill Index'!AS19=8,'Skill Index'!A19,"")</f>
        <v/>
      </c>
      <c r="T21" s="1" t="str">
        <f>IF('Skill Index'!AS19=7,'Skill Index'!A19,"")</f>
        <v/>
      </c>
      <c r="U21" s="1" t="str">
        <f>IF('Skill Index'!AS19=6,'Skill Index'!A19,"")</f>
        <v/>
      </c>
      <c r="V21" s="99" t="str">
        <f>IF('Skill Index'!AS19&lt;6,'Skill Index'!A19,"")</f>
        <v>Srikirti Raj</v>
      </c>
    </row>
    <row r="22" spans="1:22" x14ac:dyDescent="0.35">
      <c r="A22" s="98" t="str">
        <f>IF('Skill Index'!AP20=10,'Skill Index'!A20,"")</f>
        <v/>
      </c>
      <c r="B22" s="1" t="str">
        <f>IF('Skill Index'!AP20=9,'Skill Index'!A20,"")</f>
        <v/>
      </c>
      <c r="C22" s="1" t="str">
        <f>IF('Skill Index'!AP20=8,'Skill Index'!A20,"")</f>
        <v>Swetha KJ</v>
      </c>
      <c r="D22" s="1" t="str">
        <f>IF('Skill Index'!AP20=7,'Skill Index'!A20,"")</f>
        <v/>
      </c>
      <c r="E22" s="1" t="str">
        <f>IF('Skill Index'!AP20=6,'Skill Index'!A20,"")</f>
        <v/>
      </c>
      <c r="F22" s="99" t="str">
        <f>IF('Skill Index'!AP20&lt;6,'Skill Index'!A20,"")</f>
        <v/>
      </c>
      <c r="I22" s="98" t="str">
        <f>IF('Skill Index'!AO20=10,'Skill Index'!A20,"")</f>
        <v/>
      </c>
      <c r="J22" s="1" t="str">
        <f>IF('Skill Index'!AO20=9,'Skill Index'!A20,"")</f>
        <v/>
      </c>
      <c r="K22" s="1" t="str">
        <f>IF('Skill Index'!AO20=8,'Skill Index'!A20,"")</f>
        <v/>
      </c>
      <c r="L22" s="1" t="str">
        <f>IF('Skill Index'!AO20=7,'Skill Index'!A20,"")</f>
        <v/>
      </c>
      <c r="M22" s="1" t="str">
        <f>IF('Skill Index'!AO20=6,'Skill Index'!A20,"")</f>
        <v/>
      </c>
      <c r="N22" s="99" t="str">
        <f>IF('Skill Index'!AO20&lt;6,'Skill Index'!A20,"")</f>
        <v>Swetha KJ</v>
      </c>
      <c r="Q22" s="98" t="str">
        <f>IF('Skill Index'!AS20=10,'Skill Index'!A20,"")</f>
        <v/>
      </c>
      <c r="R22" s="1" t="str">
        <f>IF('Skill Index'!AS20=9,'Skill Index'!A20,"")</f>
        <v/>
      </c>
      <c r="S22" s="1" t="str">
        <f>IF('Skill Index'!AS20=8,'Skill Index'!A20,"")</f>
        <v/>
      </c>
      <c r="T22" s="1" t="str">
        <f>IF('Skill Index'!AS20=7,'Skill Index'!A20,"")</f>
        <v/>
      </c>
      <c r="U22" s="1" t="str">
        <f>IF('Skill Index'!AS20=6,'Skill Index'!A20,"")</f>
        <v/>
      </c>
      <c r="V22" s="99" t="str">
        <f>IF('Skill Index'!AS20&lt;6,'Skill Index'!A20,"")</f>
        <v>Swetha KJ</v>
      </c>
    </row>
  </sheetData>
  <mergeCells count="3">
    <mergeCell ref="A1:F2"/>
    <mergeCell ref="I1:N2"/>
    <mergeCell ref="Q1:V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BA75-7489-4CBD-9DC4-BE706E596122}">
  <sheetPr codeName="Sheet35"/>
  <dimension ref="A1:V22"/>
  <sheetViews>
    <sheetView topLeftCell="K1" workbookViewId="0">
      <selection activeCell="U9" sqref="U9"/>
    </sheetView>
  </sheetViews>
  <sheetFormatPr defaultRowHeight="14.5" x14ac:dyDescent="0.35"/>
  <cols>
    <col min="1" max="1" width="13.1796875" customWidth="1"/>
    <col min="2" max="2" width="17.453125" bestFit="1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12.36328125" bestFit="1" customWidth="1"/>
    <col min="11" max="11" width="13.6328125" bestFit="1" customWidth="1"/>
    <col min="12" max="12" width="11" bestFit="1" customWidth="1"/>
    <col min="13" max="13" width="13.36328125" bestFit="1" customWidth="1"/>
    <col min="14" max="14" width="20.1796875" customWidth="1"/>
    <col min="17" max="17" width="17.453125" bestFit="1" customWidth="1"/>
    <col min="19" max="19" width="13.6328125" bestFit="1" customWidth="1"/>
    <col min="20" max="20" width="15.1796875" bestFit="1" customWidth="1"/>
    <col min="21" max="21" width="13.36328125" bestFit="1" customWidth="1"/>
    <col min="22" max="22" width="16.81640625" bestFit="1" customWidth="1"/>
  </cols>
  <sheetData>
    <row r="1" spans="1:22" ht="14.5" customHeight="1" x14ac:dyDescent="0.35">
      <c r="A1" s="87" t="s">
        <v>30</v>
      </c>
      <c r="B1" s="88"/>
      <c r="C1" s="88"/>
      <c r="D1" s="88"/>
      <c r="E1" s="88"/>
      <c r="F1" s="89"/>
      <c r="I1" s="87" t="s">
        <v>29</v>
      </c>
      <c r="J1" s="88"/>
      <c r="K1" s="88"/>
      <c r="L1" s="88"/>
      <c r="M1" s="88"/>
      <c r="N1" s="89"/>
      <c r="Q1" s="108" t="s">
        <v>31</v>
      </c>
      <c r="R1" s="103"/>
      <c r="S1" s="103"/>
      <c r="T1" s="103"/>
      <c r="U1" s="103"/>
      <c r="V1" s="104"/>
    </row>
    <row r="2" spans="1:22" ht="14.5" customHeight="1" x14ac:dyDescent="0.35">
      <c r="A2" s="90"/>
      <c r="B2" s="91"/>
      <c r="C2" s="91"/>
      <c r="D2" s="91"/>
      <c r="E2" s="91"/>
      <c r="F2" s="92"/>
      <c r="I2" s="90"/>
      <c r="J2" s="91"/>
      <c r="K2" s="91"/>
      <c r="L2" s="91"/>
      <c r="M2" s="91"/>
      <c r="N2" s="92"/>
      <c r="Q2" s="105"/>
      <c r="R2" s="106"/>
      <c r="S2" s="106"/>
      <c r="T2" s="106"/>
      <c r="U2" s="106"/>
      <c r="V2" s="107"/>
    </row>
    <row r="3" spans="1:22" x14ac:dyDescent="0.35">
      <c r="A3" s="93"/>
      <c r="B3" s="94"/>
      <c r="C3" s="94"/>
      <c r="D3" s="94"/>
      <c r="E3" s="94"/>
      <c r="F3" s="95"/>
      <c r="I3" s="93"/>
      <c r="J3" s="94"/>
      <c r="K3" s="94"/>
      <c r="L3" s="94"/>
      <c r="M3" s="94"/>
      <c r="N3" s="95"/>
      <c r="Q3" s="93"/>
      <c r="R3" s="94"/>
      <c r="S3" s="94"/>
      <c r="T3" s="94"/>
      <c r="U3" s="94"/>
      <c r="V3" s="95"/>
    </row>
    <row r="4" spans="1:22" x14ac:dyDescent="0.35">
      <c r="A4" s="93"/>
      <c r="B4" s="94"/>
      <c r="C4" s="94"/>
      <c r="D4" s="94"/>
      <c r="E4" s="94"/>
      <c r="F4" s="95"/>
      <c r="I4" s="93"/>
      <c r="J4" s="94"/>
      <c r="K4" s="94"/>
      <c r="L4" s="94"/>
      <c r="M4" s="94"/>
      <c r="N4" s="95"/>
      <c r="Q4" s="93"/>
      <c r="R4" s="94"/>
      <c r="S4" s="94"/>
      <c r="T4" s="94"/>
      <c r="U4" s="94"/>
      <c r="V4" s="95"/>
    </row>
    <row r="5" spans="1:22" x14ac:dyDescent="0.35">
      <c r="A5" s="96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97" t="s">
        <v>286</v>
      </c>
      <c r="I5" s="96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97" t="s">
        <v>286</v>
      </c>
      <c r="Q5" s="96" t="s">
        <v>210</v>
      </c>
      <c r="R5" s="85" t="s">
        <v>213</v>
      </c>
      <c r="S5" s="85" t="s">
        <v>217</v>
      </c>
      <c r="T5" s="85" t="s">
        <v>221</v>
      </c>
      <c r="U5" s="85" t="s">
        <v>225</v>
      </c>
      <c r="V5" s="97" t="s">
        <v>286</v>
      </c>
    </row>
    <row r="6" spans="1:22" x14ac:dyDescent="0.35">
      <c r="A6" s="98" t="str">
        <f>IF('Skill Index'!AU4=10,'Skill Index'!A4,"")</f>
        <v/>
      </c>
      <c r="B6" s="1" t="str">
        <f>IF('Skill Index'!AU4=9,'Skill Index'!A4,"")</f>
        <v/>
      </c>
      <c r="C6" s="1" t="str">
        <f>IF('Skill Index'!AU4=8,'Skill Index'!A4,"")</f>
        <v/>
      </c>
      <c r="D6" s="1" t="str">
        <f>IF('Skill Index'!AU4=7,'Skill Index'!A4,"")</f>
        <v/>
      </c>
      <c r="E6" s="1" t="str">
        <f>IF('Skill Index'!AU4=6,'Skill Index'!A4,"")</f>
        <v/>
      </c>
      <c r="F6" s="99" t="str">
        <f>IF('Skill Index'!AU4&lt;6,'Skill Index'!A4,"")</f>
        <v>Ankit Rajput</v>
      </c>
      <c r="I6" s="98" t="str">
        <f>IF('Skill Index'!AT4=10,'Skill Index'!A4,"")</f>
        <v/>
      </c>
      <c r="J6" s="1" t="str">
        <f>IF('Skill Index'!AT4=9,'Skill Index'!A4,"")</f>
        <v/>
      </c>
      <c r="K6" s="1" t="str">
        <f>IF('Skill Index'!AT4=8,'Skill Index'!A4,"")</f>
        <v/>
      </c>
      <c r="L6" s="1" t="str">
        <f>IF('Skill Index'!AT4=7,'Skill Index'!A4,"")</f>
        <v/>
      </c>
      <c r="M6" s="1" t="str">
        <f>IF('Skill Index'!AT4=6,'Skill Index'!A4,"")</f>
        <v>Ankit Rajput</v>
      </c>
      <c r="N6" s="99" t="str">
        <f>IF('Skill Index'!AT4&lt;6,'Skill Index'!A4,"")</f>
        <v/>
      </c>
      <c r="Q6" s="98" t="str">
        <f>IF('Skill Index'!AV4=10,'Skill Index'!A4,"")</f>
        <v/>
      </c>
      <c r="R6" s="1" t="str">
        <f>IF('Skill Index'!AV4=9,'Skill Index'!A4,"")</f>
        <v/>
      </c>
      <c r="S6" s="1" t="str">
        <f>IF('Skill Index'!AV4=8,'Skill Index'!A4,"")</f>
        <v/>
      </c>
      <c r="T6" s="1" t="str">
        <f>IF('Skill Index'!AV4=7,'Skill Index'!A4,"")</f>
        <v/>
      </c>
      <c r="U6" s="1" t="str">
        <f>IF('Skill Index'!AV4=6,'Skill Index'!A4,"")</f>
        <v/>
      </c>
      <c r="V6" s="99" t="str">
        <f>IF('Skill Index'!AV4&lt;6,'Skill Index'!A4,"")</f>
        <v>Ankit Rajput</v>
      </c>
    </row>
    <row r="7" spans="1:22" x14ac:dyDescent="0.35">
      <c r="A7" s="98" t="str">
        <f>IF('Skill Index'!AU5=10,'Skill Index'!A5,"")</f>
        <v/>
      </c>
      <c r="B7" s="1" t="str">
        <f>IF('Skill Index'!AU5=9,'Skill Index'!A5,"")</f>
        <v/>
      </c>
      <c r="C7" s="1" t="str">
        <f>IF('Skill Index'!AU5=8,'Skill Index'!A5,"")</f>
        <v/>
      </c>
      <c r="D7" s="1" t="str">
        <f>IF('Skill Index'!AU5=7,'Skill Index'!A5,"")</f>
        <v/>
      </c>
      <c r="E7" s="1" t="str">
        <f>IF('Skill Index'!AU5=6,'Skill Index'!A5,"")</f>
        <v/>
      </c>
      <c r="F7" s="99" t="str">
        <f>IF('Skill Index'!AU5&lt;6,'Skill Index'!A5,"")</f>
        <v>Anusha Gunda</v>
      </c>
      <c r="I7" s="98" t="str">
        <f>IF('Skill Index'!AT5=10,'Skill Index'!A5,"")</f>
        <v/>
      </c>
      <c r="J7" s="1" t="str">
        <f>IF('Skill Index'!AT5=9,'Skill Index'!A5,"")</f>
        <v/>
      </c>
      <c r="K7" s="1" t="str">
        <f>IF('Skill Index'!AT5=8,'Skill Index'!A5,"")</f>
        <v/>
      </c>
      <c r="L7" s="1" t="str">
        <f>IF('Skill Index'!AT5=7,'Skill Index'!A5,"")</f>
        <v/>
      </c>
      <c r="M7" s="1" t="str">
        <f>IF('Skill Index'!AT5=6,'Skill Index'!A5,"")</f>
        <v/>
      </c>
      <c r="N7" s="99" t="str">
        <f>IF('Skill Index'!AT5&lt;6,'Skill Index'!A5,"")</f>
        <v>Anusha Gunda</v>
      </c>
      <c r="Q7" s="98" t="str">
        <f>IF('Skill Index'!AV5=10,'Skill Index'!A5,"")</f>
        <v/>
      </c>
      <c r="R7" s="1" t="str">
        <f>IF('Skill Index'!AV5=9,'Skill Index'!A5,"")</f>
        <v/>
      </c>
      <c r="S7" s="1" t="str">
        <f>IF('Skill Index'!AV5=8,'Skill Index'!A5,"")</f>
        <v/>
      </c>
      <c r="T7" s="1" t="str">
        <f>IF('Skill Index'!AV5=7,'Skill Index'!A5,"")</f>
        <v/>
      </c>
      <c r="U7" s="1" t="str">
        <f>IF('Skill Index'!AV5=6,'Skill Index'!A5,"")</f>
        <v/>
      </c>
      <c r="V7" s="99" t="str">
        <f>IF('Skill Index'!AV5&lt;6,'Skill Index'!A5,"")</f>
        <v>Anusha Gunda</v>
      </c>
    </row>
    <row r="8" spans="1:22" x14ac:dyDescent="0.35">
      <c r="A8" s="98" t="str">
        <f>IF('Skill Index'!AU6=10,'Skill Index'!A6,"")</f>
        <v/>
      </c>
      <c r="B8" s="1" t="str">
        <f>IF('Skill Index'!AU6=9,'Skill Index'!A6,"")</f>
        <v/>
      </c>
      <c r="C8" s="1" t="str">
        <f>IF('Skill Index'!AU6=8,'Skill Index'!A6,"")</f>
        <v/>
      </c>
      <c r="D8" s="1" t="str">
        <f>IF('Skill Index'!AU6=7,'Skill Index'!A6,"")</f>
        <v/>
      </c>
      <c r="E8" s="1" t="str">
        <f>IF('Skill Index'!AU6=6,'Skill Index'!A6,"")</f>
        <v/>
      </c>
      <c r="F8" s="99" t="str">
        <f>IF('Skill Index'!AU6&lt;6,'Skill Index'!A6,"")</f>
        <v>Arun Kumar</v>
      </c>
      <c r="I8" s="98" t="str">
        <f>IF('Skill Index'!AT6=10,'Skill Index'!A6,"")</f>
        <v/>
      </c>
      <c r="J8" s="1" t="str">
        <f>IF('Skill Index'!AT6=9,'Skill Index'!A6,"")</f>
        <v/>
      </c>
      <c r="K8" s="1" t="str">
        <f>IF('Skill Index'!AT6=8,'Skill Index'!A6,"")</f>
        <v/>
      </c>
      <c r="L8" s="1" t="str">
        <f>IF('Skill Index'!AT6=7,'Skill Index'!A6,"")</f>
        <v/>
      </c>
      <c r="M8" s="1" t="str">
        <f>IF('Skill Index'!AT6=6,'Skill Index'!A6,"")</f>
        <v/>
      </c>
      <c r="N8" s="99" t="str">
        <f>IF('Skill Index'!AT6&lt;6,'Skill Index'!A6,"")</f>
        <v>Arun Kumar</v>
      </c>
      <c r="Q8" s="98" t="str">
        <f>IF('Skill Index'!AV6=10,'Skill Index'!A6,"")</f>
        <v/>
      </c>
      <c r="R8" s="1" t="str">
        <f>IF('Skill Index'!AV6=9,'Skill Index'!A6,"")</f>
        <v/>
      </c>
      <c r="S8" s="1" t="str">
        <f>IF('Skill Index'!AV6=8,'Skill Index'!A6,"")</f>
        <v/>
      </c>
      <c r="T8" s="1" t="str">
        <f>IF('Skill Index'!AV6=7,'Skill Index'!A6,"")</f>
        <v/>
      </c>
      <c r="U8" s="1" t="str">
        <f>IF('Skill Index'!AV6=6,'Skill Index'!A6,"")</f>
        <v/>
      </c>
      <c r="V8" s="99" t="str">
        <f>IF('Skill Index'!AV6&lt;6,'Skill Index'!A6,"")</f>
        <v>Arun Kumar</v>
      </c>
    </row>
    <row r="9" spans="1:22" x14ac:dyDescent="0.35">
      <c r="A9" s="98" t="str">
        <f>IF('Skill Index'!AU7=10,'Skill Index'!A7,"")</f>
        <v/>
      </c>
      <c r="B9" s="1" t="str">
        <f>IF('Skill Index'!AU7=9,'Skill Index'!A7,"")</f>
        <v/>
      </c>
      <c r="C9" s="1" t="str">
        <f>IF('Skill Index'!AU7=8,'Skill Index'!A7,"")</f>
        <v/>
      </c>
      <c r="D9" s="1" t="str">
        <f>IF('Skill Index'!AU7=7,'Skill Index'!A7,"")</f>
        <v/>
      </c>
      <c r="E9" s="1" t="str">
        <f>IF('Skill Index'!AU7=6,'Skill Index'!A7,"")</f>
        <v>Ashraya H D</v>
      </c>
      <c r="F9" s="99" t="str">
        <f>IF('Skill Index'!AU7&lt;6,'Skill Index'!A7,"")</f>
        <v/>
      </c>
      <c r="I9" s="98" t="str">
        <f>IF('Skill Index'!AT7=10,'Skill Index'!A7,"")</f>
        <v/>
      </c>
      <c r="J9" s="1" t="str">
        <f>IF('Skill Index'!AT7=9,'Skill Index'!A7,"")</f>
        <v/>
      </c>
      <c r="K9" s="1" t="str">
        <f>IF('Skill Index'!AT7=8,'Skill Index'!A7,"")</f>
        <v/>
      </c>
      <c r="L9" s="1" t="str">
        <f>IF('Skill Index'!AT7=7,'Skill Index'!A7,"")</f>
        <v/>
      </c>
      <c r="M9" s="1" t="str">
        <f>IF('Skill Index'!AT7=6,'Skill Index'!A7,"")</f>
        <v/>
      </c>
      <c r="N9" s="99" t="str">
        <f>IF('Skill Index'!AT7&lt;6,'Skill Index'!A7,"")</f>
        <v>Ashraya H D</v>
      </c>
      <c r="Q9" s="98" t="str">
        <f>IF('Skill Index'!AV7=10,'Skill Index'!A7,"")</f>
        <v/>
      </c>
      <c r="R9" s="1" t="str">
        <f>IF('Skill Index'!AV7=9,'Skill Index'!A7,"")</f>
        <v/>
      </c>
      <c r="S9" s="1" t="str">
        <f>IF('Skill Index'!AV7=8,'Skill Index'!A7,"")</f>
        <v/>
      </c>
      <c r="T9" s="1" t="str">
        <f>IF('Skill Index'!AV7=7,'Skill Index'!A7,"")</f>
        <v/>
      </c>
      <c r="U9" s="1" t="str">
        <f>IF('Skill Index'!AV7=6,'Skill Index'!A7,"")</f>
        <v/>
      </c>
      <c r="V9" s="99" t="str">
        <f>IF('Skill Index'!AV7&lt;6,'Skill Index'!A7,"")</f>
        <v>Ashraya H D</v>
      </c>
    </row>
    <row r="10" spans="1:22" x14ac:dyDescent="0.35">
      <c r="A10" s="98" t="str">
        <f>IF('Skill Index'!AU8=10,'Skill Index'!A8,"")</f>
        <v/>
      </c>
      <c r="B10" s="1" t="str">
        <f>IF('Skill Index'!AU8=9,'Skill Index'!A8,"")</f>
        <v/>
      </c>
      <c r="C10" s="1" t="str">
        <f>IF('Skill Index'!AU8=8,'Skill Index'!A8,"")</f>
        <v/>
      </c>
      <c r="D10" s="1" t="str">
        <f>IF('Skill Index'!AU8=7,'Skill Index'!A8,"")</f>
        <v/>
      </c>
      <c r="E10" s="1" t="str">
        <f>IF('Skill Index'!AU8=6,'Skill Index'!A8,"")</f>
        <v/>
      </c>
      <c r="F10" s="99" t="str">
        <f>IF('Skill Index'!AU8&lt;6,'Skill Index'!A8,"")</f>
        <v>Jeet Doshi</v>
      </c>
      <c r="I10" s="98" t="str">
        <f>IF('Skill Index'!AT8=10,'Skill Index'!A8,"")</f>
        <v/>
      </c>
      <c r="J10" s="1" t="str">
        <f>IF('Skill Index'!AT8=9,'Skill Index'!A8,"")</f>
        <v/>
      </c>
      <c r="K10" s="1" t="str">
        <f>IF('Skill Index'!AT8=8,'Skill Index'!A8,"")</f>
        <v/>
      </c>
      <c r="L10" s="1" t="str">
        <f>IF('Skill Index'!AT8=7,'Skill Index'!A8,"")</f>
        <v/>
      </c>
      <c r="M10" s="1" t="str">
        <f>IF('Skill Index'!AT8=6,'Skill Index'!A8,"")</f>
        <v/>
      </c>
      <c r="N10" s="99" t="str">
        <f>IF('Skill Index'!AT8&lt;6,'Skill Index'!A8,"")</f>
        <v>Jeet Doshi</v>
      </c>
      <c r="Q10" s="98" t="str">
        <f>IF('Skill Index'!AV8=10,'Skill Index'!A8,"")</f>
        <v/>
      </c>
      <c r="R10" s="1" t="str">
        <f>IF('Skill Index'!AV8=9,'Skill Index'!A8,"")</f>
        <v/>
      </c>
      <c r="S10" s="1" t="str">
        <f>IF('Skill Index'!AV8=8,'Skill Index'!A8,"")</f>
        <v/>
      </c>
      <c r="T10" s="1" t="str">
        <f>IF('Skill Index'!AV8=7,'Skill Index'!A8,"")</f>
        <v/>
      </c>
      <c r="U10" s="1" t="str">
        <f>IF('Skill Index'!AV8=6,'Skill Index'!A8,"")</f>
        <v/>
      </c>
      <c r="V10" s="99" t="str">
        <f>IF('Skill Index'!AV8&lt;6,'Skill Index'!A8,"")</f>
        <v>Jeet Doshi</v>
      </c>
    </row>
    <row r="11" spans="1:22" x14ac:dyDescent="0.35">
      <c r="A11" s="98" t="str">
        <f>IF('Skill Index'!AU9=10,'Skill Index'!A9,"")</f>
        <v/>
      </c>
      <c r="B11" s="1" t="str">
        <f>IF('Skill Index'!AU9=9,'Skill Index'!A9,"")</f>
        <v/>
      </c>
      <c r="C11" s="1" t="str">
        <f>IF('Skill Index'!AU9=8,'Skill Index'!A9,"")</f>
        <v/>
      </c>
      <c r="D11" s="1" t="str">
        <f>IF('Skill Index'!AU9=7,'Skill Index'!A9,"")</f>
        <v/>
      </c>
      <c r="E11" s="1" t="str">
        <f>IF('Skill Index'!AU9=6,'Skill Index'!A9,"")</f>
        <v/>
      </c>
      <c r="F11" s="99" t="str">
        <f>IF('Skill Index'!AU9&lt;6,'Skill Index'!A9,"")</f>
        <v>Mahesh Kumar</v>
      </c>
      <c r="I11" s="98" t="str">
        <f>IF('Skill Index'!AT9=10,'Skill Index'!A9,"")</f>
        <v/>
      </c>
      <c r="J11" s="1" t="str">
        <f>IF('Skill Index'!AT9=9,'Skill Index'!A9,"")</f>
        <v/>
      </c>
      <c r="K11" s="1" t="str">
        <f>IF('Skill Index'!AT9=8,'Skill Index'!A9,"")</f>
        <v/>
      </c>
      <c r="L11" s="1" t="str">
        <f>IF('Skill Index'!AT9=7,'Skill Index'!A9,"")</f>
        <v/>
      </c>
      <c r="M11" s="1" t="str">
        <f>IF('Skill Index'!AT9=6,'Skill Index'!A9,"")</f>
        <v/>
      </c>
      <c r="N11" s="99" t="str">
        <f>IF('Skill Index'!AT9&lt;6,'Skill Index'!A9,"")</f>
        <v>Mahesh Kumar</v>
      </c>
      <c r="Q11" s="98" t="str">
        <f>IF('Skill Index'!AV9=10,'Skill Index'!A9,"")</f>
        <v/>
      </c>
      <c r="R11" s="1" t="str">
        <f>IF('Skill Index'!AV9=9,'Skill Index'!A9,"")</f>
        <v/>
      </c>
      <c r="S11" s="1" t="str">
        <f>IF('Skill Index'!AV9=8,'Skill Index'!A9,"")</f>
        <v/>
      </c>
      <c r="T11" s="1" t="str">
        <f>IF('Skill Index'!AV9=7,'Skill Index'!A9,"")</f>
        <v/>
      </c>
      <c r="U11" s="1" t="str">
        <f>IF('Skill Index'!AV9=6,'Skill Index'!A9,"")</f>
        <v/>
      </c>
      <c r="V11" s="99" t="str">
        <f>IF('Skill Index'!AV9&lt;6,'Skill Index'!A9,"")</f>
        <v>Mahesh Kumar</v>
      </c>
    </row>
    <row r="12" spans="1:22" x14ac:dyDescent="0.35">
      <c r="A12" s="98" t="str">
        <f>IF('Skill Index'!AU10=10,'Skill Index'!A10,"")</f>
        <v/>
      </c>
      <c r="B12" s="1" t="str">
        <f>IF('Skill Index'!AU10=9,'Skill Index'!A10,"")</f>
        <v/>
      </c>
      <c r="C12" s="1" t="str">
        <f>IF('Skill Index'!AU10=8,'Skill Index'!A10,"")</f>
        <v/>
      </c>
      <c r="D12" s="1" t="str">
        <f>IF('Skill Index'!AU10=7,'Skill Index'!A10,"")</f>
        <v/>
      </c>
      <c r="E12" s="1" t="str">
        <f>IF('Skill Index'!AU10=6,'Skill Index'!A10,"")</f>
        <v/>
      </c>
      <c r="F12" s="99" t="str">
        <f>IF('Skill Index'!AU10&lt;6,'Skill Index'!A10,"")</f>
        <v>Nilekha Repaka</v>
      </c>
      <c r="I12" s="98" t="str">
        <f>IF('Skill Index'!AT10=10,'Skill Index'!A10,"")</f>
        <v/>
      </c>
      <c r="J12" s="1" t="str">
        <f>IF('Skill Index'!AT10=9,'Skill Index'!A10,"")</f>
        <v/>
      </c>
      <c r="K12" s="1" t="str">
        <f>IF('Skill Index'!AT10=8,'Skill Index'!A10,"")</f>
        <v/>
      </c>
      <c r="L12" s="1" t="str">
        <f>IF('Skill Index'!AT10=7,'Skill Index'!A10,"")</f>
        <v/>
      </c>
      <c r="M12" s="1" t="str">
        <f>IF('Skill Index'!AT10=6,'Skill Index'!A10,"")</f>
        <v/>
      </c>
      <c r="N12" s="99" t="str">
        <f>IF('Skill Index'!AT10&lt;6,'Skill Index'!A10,"")</f>
        <v>Nilekha Repaka</v>
      </c>
      <c r="Q12" s="98" t="str">
        <f>IF('Skill Index'!AV10=10,'Skill Index'!A10,"")</f>
        <v/>
      </c>
      <c r="R12" s="1" t="str">
        <f>IF('Skill Index'!AV10=9,'Skill Index'!A10,"")</f>
        <v/>
      </c>
      <c r="S12" s="1" t="str">
        <f>IF('Skill Index'!AV10=8,'Skill Index'!A10,"")</f>
        <v/>
      </c>
      <c r="T12" s="1" t="str">
        <f>IF('Skill Index'!AV10=7,'Skill Index'!A10,"")</f>
        <v/>
      </c>
      <c r="U12" s="1" t="str">
        <f>IF('Skill Index'!AV10=6,'Skill Index'!A10,"")</f>
        <v/>
      </c>
      <c r="V12" s="99" t="str">
        <f>IF('Skill Index'!AV10&lt;6,'Skill Index'!A10,"")</f>
        <v>Nilekha Repaka</v>
      </c>
    </row>
    <row r="13" spans="1:22" x14ac:dyDescent="0.35">
      <c r="A13" s="98" t="str">
        <f>IF('Skill Index'!AU11=10,'Skill Index'!A11,"")</f>
        <v/>
      </c>
      <c r="B13" s="1" t="str">
        <f>IF('Skill Index'!AU11=9,'Skill Index'!A11,"")</f>
        <v/>
      </c>
      <c r="C13" s="1" t="str">
        <f>IF('Skill Index'!AU11=8,'Skill Index'!A11,"")</f>
        <v/>
      </c>
      <c r="D13" s="1" t="str">
        <f>IF('Skill Index'!AU11=7,'Skill Index'!A11,"")</f>
        <v/>
      </c>
      <c r="E13" s="1" t="str">
        <f>IF('Skill Index'!AU11=6,'Skill Index'!A11,"")</f>
        <v/>
      </c>
      <c r="F13" s="99" t="str">
        <f>IF('Skill Index'!AU11&lt;6,'Skill Index'!A11,"")</f>
        <v>Pawan Rathore</v>
      </c>
      <c r="I13" s="98" t="str">
        <f>IF('Skill Index'!AT11=10,'Skill Index'!A11,"")</f>
        <v/>
      </c>
      <c r="J13" s="1" t="str">
        <f>IF('Skill Index'!AT11=9,'Skill Index'!A11,"")</f>
        <v/>
      </c>
      <c r="K13" s="1" t="str">
        <f>IF('Skill Index'!AT11=8,'Skill Index'!A11,"")</f>
        <v/>
      </c>
      <c r="L13" s="1" t="str">
        <f>IF('Skill Index'!AT11=7,'Skill Index'!A11,"")</f>
        <v/>
      </c>
      <c r="M13" s="1" t="str">
        <f>IF('Skill Index'!AT11=6,'Skill Index'!A11,"")</f>
        <v/>
      </c>
      <c r="N13" s="99" t="str">
        <f>IF('Skill Index'!AT11&lt;6,'Skill Index'!A11,"")</f>
        <v>Pawan Rathore</v>
      </c>
      <c r="Q13" s="98" t="str">
        <f>IF('Skill Index'!AV11=10,'Skill Index'!A11,"")</f>
        <v/>
      </c>
      <c r="R13" s="1" t="str">
        <f>IF('Skill Index'!AV11=9,'Skill Index'!A11,"")</f>
        <v/>
      </c>
      <c r="S13" s="1" t="str">
        <f>IF('Skill Index'!AV11=8,'Skill Index'!A11,"")</f>
        <v/>
      </c>
      <c r="T13" s="1" t="str">
        <f>IF('Skill Index'!AV11=7,'Skill Index'!A11,"")</f>
        <v/>
      </c>
      <c r="U13" s="1" t="str">
        <f>IF('Skill Index'!AV11=6,'Skill Index'!A11,"")</f>
        <v/>
      </c>
      <c r="V13" s="99" t="str">
        <f>IF('Skill Index'!AV11&lt;6,'Skill Index'!A11,"")</f>
        <v>Pawan Rathore</v>
      </c>
    </row>
    <row r="14" spans="1:22" x14ac:dyDescent="0.35">
      <c r="A14" s="98" t="str">
        <f>IF('Skill Index'!AU12=10,'Skill Index'!A12,"")</f>
        <v/>
      </c>
      <c r="B14" s="1" t="str">
        <f>IF('Skill Index'!AU12=9,'Skill Index'!A12,"")</f>
        <v/>
      </c>
      <c r="C14" s="1" t="str">
        <f>IF('Skill Index'!AU12=8,'Skill Index'!A12,"")</f>
        <v/>
      </c>
      <c r="D14" s="1" t="str">
        <f>IF('Skill Index'!AU12=7,'Skill Index'!A12,"")</f>
        <v>Priyesh Tiwari</v>
      </c>
      <c r="E14" s="1" t="str">
        <f>IF('Skill Index'!AU12=6,'Skill Index'!A12,"")</f>
        <v/>
      </c>
      <c r="F14" s="99" t="str">
        <f>IF('Skill Index'!AU12&lt;6,'Skill Index'!A12,"")</f>
        <v/>
      </c>
      <c r="I14" s="98" t="str">
        <f>IF('Skill Index'!AT12=10,'Skill Index'!A12,"")</f>
        <v/>
      </c>
      <c r="J14" s="1" t="str">
        <f>IF('Skill Index'!AT12=9,'Skill Index'!A12,"")</f>
        <v/>
      </c>
      <c r="K14" s="1" t="str">
        <f>IF('Skill Index'!AT12=8,'Skill Index'!A12,"")</f>
        <v/>
      </c>
      <c r="L14" s="1" t="str">
        <f>IF('Skill Index'!AT12=7,'Skill Index'!A12,"")</f>
        <v/>
      </c>
      <c r="M14" s="1" t="str">
        <f>IF('Skill Index'!AT12=6,'Skill Index'!A12,"")</f>
        <v/>
      </c>
      <c r="N14" s="99" t="str">
        <f>IF('Skill Index'!AT12&lt;6,'Skill Index'!A12,"")</f>
        <v>Priyesh Tiwari</v>
      </c>
      <c r="Q14" s="98" t="str">
        <f>IF('Skill Index'!AV12=10,'Skill Index'!A12,"")</f>
        <v/>
      </c>
      <c r="R14" s="1" t="str">
        <f>IF('Skill Index'!AV12=9,'Skill Index'!A12,"")</f>
        <v/>
      </c>
      <c r="S14" s="1" t="str">
        <f>IF('Skill Index'!AV12=8,'Skill Index'!A12,"")</f>
        <v/>
      </c>
      <c r="T14" s="1" t="str">
        <f>IF('Skill Index'!AV12=7,'Skill Index'!A12,"")</f>
        <v/>
      </c>
      <c r="U14" s="1" t="str">
        <f>IF('Skill Index'!AV12=6,'Skill Index'!A12,"")</f>
        <v/>
      </c>
      <c r="V14" s="99" t="str">
        <f>IF('Skill Index'!AV12&lt;6,'Skill Index'!A12,"")</f>
        <v>Priyesh Tiwari</v>
      </c>
    </row>
    <row r="15" spans="1:22" x14ac:dyDescent="0.35">
      <c r="A15" s="98" t="str">
        <f>IF('Skill Index'!AU13=10,'Skill Index'!A13,"")</f>
        <v/>
      </c>
      <c r="B15" s="1" t="str">
        <f>IF('Skill Index'!AU13=9,'Skill Index'!A13,"")</f>
        <v/>
      </c>
      <c r="C15" s="1" t="str">
        <f>IF('Skill Index'!AU13=8,'Skill Index'!A13,"")</f>
        <v/>
      </c>
      <c r="D15" s="1" t="str">
        <f>IF('Skill Index'!AU13=7,'Skill Index'!A13,"")</f>
        <v/>
      </c>
      <c r="E15" s="1" t="str">
        <f>IF('Skill Index'!AU13=6,'Skill Index'!A13,"")</f>
        <v>Rahul Kumar</v>
      </c>
      <c r="F15" s="99" t="str">
        <f>IF('Skill Index'!AU13&lt;6,'Skill Index'!A13,"")</f>
        <v/>
      </c>
      <c r="I15" s="98" t="str">
        <f>IF('Skill Index'!AT13=10,'Skill Index'!A13,"")</f>
        <v/>
      </c>
      <c r="J15" s="1" t="str">
        <f>IF('Skill Index'!AT13=9,'Skill Index'!A13,"")</f>
        <v/>
      </c>
      <c r="K15" s="1" t="str">
        <f>IF('Skill Index'!AT13=8,'Skill Index'!A13,"")</f>
        <v/>
      </c>
      <c r="L15" s="1" t="str">
        <f>IF('Skill Index'!AT13=7,'Skill Index'!A13,"")</f>
        <v/>
      </c>
      <c r="M15" s="1" t="str">
        <f>IF('Skill Index'!AT13=6,'Skill Index'!A13,"")</f>
        <v/>
      </c>
      <c r="N15" s="99" t="str">
        <f>IF('Skill Index'!AT13&lt;6,'Skill Index'!A13,"")</f>
        <v>Rahul Kumar</v>
      </c>
      <c r="Q15" s="98" t="str">
        <f>IF('Skill Index'!AV13=10,'Skill Index'!A13,"")</f>
        <v/>
      </c>
      <c r="R15" s="1" t="str">
        <f>IF('Skill Index'!AV13=9,'Skill Index'!A13,"")</f>
        <v/>
      </c>
      <c r="S15" s="1" t="str">
        <f>IF('Skill Index'!AV13=8,'Skill Index'!A13,"")</f>
        <v/>
      </c>
      <c r="T15" s="1" t="str">
        <f>IF('Skill Index'!AV13=7,'Skill Index'!A13,"")</f>
        <v/>
      </c>
      <c r="U15" s="1" t="str">
        <f>IF('Skill Index'!AV13=6,'Skill Index'!A13,"")</f>
        <v/>
      </c>
      <c r="V15" s="99" t="str">
        <f>IF('Skill Index'!AV13&lt;6,'Skill Index'!A13,"")</f>
        <v>Rahul Kumar</v>
      </c>
    </row>
    <row r="16" spans="1:22" x14ac:dyDescent="0.35">
      <c r="A16" s="98" t="str">
        <f>IF('Skill Index'!AU14=10,'Skill Index'!A14,"")</f>
        <v/>
      </c>
      <c r="B16" s="1" t="str">
        <f>IF('Skill Index'!AU14=9,'Skill Index'!A14,"")</f>
        <v/>
      </c>
      <c r="C16" s="1" t="str">
        <f>IF('Skill Index'!AU14=8,'Skill Index'!A14,"")</f>
        <v/>
      </c>
      <c r="D16" s="1" t="str">
        <f>IF('Skill Index'!AU14=7,'Skill Index'!A14,"")</f>
        <v/>
      </c>
      <c r="E16" s="1" t="str">
        <f>IF('Skill Index'!AU14=6,'Skill Index'!A14,"")</f>
        <v>Ramkrishna Kadiya</v>
      </c>
      <c r="F16" s="99" t="str">
        <f>IF('Skill Index'!AU14&lt;6,'Skill Index'!A14,"")</f>
        <v/>
      </c>
      <c r="I16" s="98" t="str">
        <f>IF('Skill Index'!AT14=10,'Skill Index'!A14,"")</f>
        <v/>
      </c>
      <c r="J16" s="1" t="str">
        <f>IF('Skill Index'!AT14=9,'Skill Index'!A14,"")</f>
        <v/>
      </c>
      <c r="K16" s="1" t="str">
        <f>IF('Skill Index'!AT14=8,'Skill Index'!A14,"")</f>
        <v/>
      </c>
      <c r="L16" s="1" t="str">
        <f>IF('Skill Index'!AT14=7,'Skill Index'!A14,"")</f>
        <v/>
      </c>
      <c r="M16" s="1" t="str">
        <f>IF('Skill Index'!AT14=6,'Skill Index'!A14,"")</f>
        <v/>
      </c>
      <c r="N16" s="99" t="str">
        <f>IF('Skill Index'!AT14&lt;6,'Skill Index'!A14,"")</f>
        <v>Ramkrishna Kadiya</v>
      </c>
      <c r="Q16" s="98" t="str">
        <f>IF('Skill Index'!AV14=10,'Skill Index'!A14,"")</f>
        <v/>
      </c>
      <c r="R16" s="1" t="str">
        <f>IF('Skill Index'!AV14=9,'Skill Index'!A14,"")</f>
        <v/>
      </c>
      <c r="S16" s="1" t="str">
        <f>IF('Skill Index'!AV14=8,'Skill Index'!A14,"")</f>
        <v/>
      </c>
      <c r="T16" s="1" t="str">
        <f>IF('Skill Index'!AV14=7,'Skill Index'!A14,"")</f>
        <v/>
      </c>
      <c r="U16" s="1" t="str">
        <f>IF('Skill Index'!AV14=6,'Skill Index'!A14,"")</f>
        <v/>
      </c>
      <c r="V16" s="99" t="str">
        <f>IF('Skill Index'!AV14&lt;6,'Skill Index'!A14,"")</f>
        <v>Ramkrishna Kadiya</v>
      </c>
    </row>
    <row r="17" spans="1:22" x14ac:dyDescent="0.35">
      <c r="A17" s="98" t="str">
        <f>IF('Skill Index'!AU15=10,'Skill Index'!A15,"")</f>
        <v/>
      </c>
      <c r="B17" s="1" t="str">
        <f>IF('Skill Index'!AU15=9,'Skill Index'!A15,"")</f>
        <v/>
      </c>
      <c r="C17" s="1" t="str">
        <f>IF('Skill Index'!AU15=8,'Skill Index'!A15,"")</f>
        <v/>
      </c>
      <c r="D17" s="1" t="str">
        <f>IF('Skill Index'!AU15=7,'Skill Index'!A15,"")</f>
        <v>Revanth Anguluri</v>
      </c>
      <c r="E17" s="1" t="str">
        <f>IF('Skill Index'!AU15=6,'Skill Index'!A15,"")</f>
        <v/>
      </c>
      <c r="F17" s="99" t="str">
        <f>IF('Skill Index'!AU15&lt;6,'Skill Index'!A15,"")</f>
        <v/>
      </c>
      <c r="I17" s="98" t="str">
        <f>IF('Skill Index'!AT15=10,'Skill Index'!A15,"")</f>
        <v/>
      </c>
      <c r="J17" s="1" t="str">
        <f>IF('Skill Index'!AT15=9,'Skill Index'!A15,"")</f>
        <v/>
      </c>
      <c r="K17" s="1" t="str">
        <f>IF('Skill Index'!AT15=8,'Skill Index'!A15,"")</f>
        <v/>
      </c>
      <c r="L17" s="1" t="str">
        <f>IF('Skill Index'!AT15=7,'Skill Index'!A15,"")</f>
        <v/>
      </c>
      <c r="M17" s="1" t="str">
        <f>IF('Skill Index'!AT15=6,'Skill Index'!A15,"")</f>
        <v/>
      </c>
      <c r="N17" s="99" t="str">
        <f>IF('Skill Index'!AT15&lt;6,'Skill Index'!A15,"")</f>
        <v>Revanth Anguluri</v>
      </c>
      <c r="Q17" s="98" t="str">
        <f>IF('Skill Index'!AV15=10,'Skill Index'!A15,"")</f>
        <v/>
      </c>
      <c r="R17" s="1" t="str">
        <f>IF('Skill Index'!AV15=9,'Skill Index'!A15,"")</f>
        <v/>
      </c>
      <c r="S17" s="1" t="str">
        <f>IF('Skill Index'!AV15=8,'Skill Index'!A15,"")</f>
        <v/>
      </c>
      <c r="T17" s="1" t="str">
        <f>IF('Skill Index'!AV15=7,'Skill Index'!A15,"")</f>
        <v/>
      </c>
      <c r="U17" s="1" t="str">
        <f>IF('Skill Index'!AV15=6,'Skill Index'!A15,"")</f>
        <v/>
      </c>
      <c r="V17" s="99" t="str">
        <f>IF('Skill Index'!AV15&lt;6,'Skill Index'!A15,"")</f>
        <v>Revanth Anguluri</v>
      </c>
    </row>
    <row r="18" spans="1:22" x14ac:dyDescent="0.35">
      <c r="A18" s="98" t="str">
        <f>IF('Skill Index'!AU16=10,'Skill Index'!A16,"")</f>
        <v/>
      </c>
      <c r="B18" s="1" t="str">
        <f>IF('Skill Index'!AU16=9,'Skill Index'!A16,"")</f>
        <v/>
      </c>
      <c r="C18" s="1" t="str">
        <f>IF('Skill Index'!AU16=8,'Skill Index'!A16,"")</f>
        <v/>
      </c>
      <c r="D18" s="1" t="str">
        <f>IF('Skill Index'!AU16=7,'Skill Index'!A16,"")</f>
        <v/>
      </c>
      <c r="E18" s="1" t="str">
        <f>IF('Skill Index'!AU16=6,'Skill Index'!A16,"")</f>
        <v>Sagar Sable</v>
      </c>
      <c r="F18" s="99" t="str">
        <f>IF('Skill Index'!AU16&lt;6,'Skill Index'!A16,"")</f>
        <v/>
      </c>
      <c r="I18" s="98" t="str">
        <f>IF('Skill Index'!AT16=10,'Skill Index'!A16,"")</f>
        <v/>
      </c>
      <c r="J18" s="1" t="str">
        <f>IF('Skill Index'!AT16=9,'Skill Index'!A16,"")</f>
        <v/>
      </c>
      <c r="K18" s="1" t="str">
        <f>IF('Skill Index'!AT16=8,'Skill Index'!A16,"")</f>
        <v/>
      </c>
      <c r="L18" s="1" t="str">
        <f>IF('Skill Index'!AT16=7,'Skill Index'!A16,"")</f>
        <v/>
      </c>
      <c r="M18" s="1" t="str">
        <f>IF('Skill Index'!AT16=6,'Skill Index'!A16,"")</f>
        <v>Sagar Sable</v>
      </c>
      <c r="N18" s="99" t="str">
        <f>IF('Skill Index'!AT16&lt;6,'Skill Index'!A16,"")</f>
        <v/>
      </c>
      <c r="Q18" s="98" t="str">
        <f>IF('Skill Index'!AV16=10,'Skill Index'!A16,"")</f>
        <v/>
      </c>
      <c r="R18" s="1" t="str">
        <f>IF('Skill Index'!AV16=9,'Skill Index'!A16,"")</f>
        <v/>
      </c>
      <c r="S18" s="1" t="str">
        <f>IF('Skill Index'!AV16=8,'Skill Index'!A16,"")</f>
        <v/>
      </c>
      <c r="T18" s="1" t="str">
        <f>IF('Skill Index'!AV16=7,'Skill Index'!A16,"")</f>
        <v/>
      </c>
      <c r="U18" s="1" t="str">
        <f>IF('Skill Index'!AV16=6,'Skill Index'!A16,"")</f>
        <v/>
      </c>
      <c r="V18" s="99" t="str">
        <f>IF('Skill Index'!AV16&lt;6,'Skill Index'!A16,"")</f>
        <v>Sagar Sable</v>
      </c>
    </row>
    <row r="19" spans="1:22" x14ac:dyDescent="0.35">
      <c r="A19" s="98" t="str">
        <f>IF('Skill Index'!AU17=10,'Skill Index'!A17,"")</f>
        <v/>
      </c>
      <c r="B19" s="1" t="str">
        <f>IF('Skill Index'!AU17=9,'Skill Index'!A17,"")</f>
        <v/>
      </c>
      <c r="C19" s="1" t="str">
        <f>IF('Skill Index'!AU17=8,'Skill Index'!A17,"")</f>
        <v/>
      </c>
      <c r="D19" s="1" t="str">
        <f>IF('Skill Index'!AU17=7,'Skill Index'!A17,"")</f>
        <v>Shreya Ramprakash</v>
      </c>
      <c r="E19" s="1" t="str">
        <f>IF('Skill Index'!AU17=6,'Skill Index'!A17,"")</f>
        <v/>
      </c>
      <c r="F19" s="99" t="str">
        <f>IF('Skill Index'!AU17&lt;6,'Skill Index'!A17,"")</f>
        <v/>
      </c>
      <c r="I19" s="98" t="str">
        <f>IF('Skill Index'!AT17=10,'Skill Index'!A17,"")</f>
        <v/>
      </c>
      <c r="J19" s="1" t="str">
        <f>IF('Skill Index'!AT17=9,'Skill Index'!A17,"")</f>
        <v/>
      </c>
      <c r="K19" s="1" t="str">
        <f>IF('Skill Index'!AT17=8,'Skill Index'!A17,"")</f>
        <v/>
      </c>
      <c r="L19" s="1" t="str">
        <f>IF('Skill Index'!AT17=7,'Skill Index'!A17,"")</f>
        <v/>
      </c>
      <c r="M19" s="1" t="str">
        <f>IF('Skill Index'!AT17=6,'Skill Index'!A17,"")</f>
        <v/>
      </c>
      <c r="N19" s="99" t="str">
        <f>IF('Skill Index'!AT17&lt;6,'Skill Index'!A17,"")</f>
        <v>Shreya Ramprakash</v>
      </c>
      <c r="Q19" s="98" t="str">
        <f>IF('Skill Index'!AV17=10,'Skill Index'!A17,"")</f>
        <v/>
      </c>
      <c r="R19" s="1" t="str">
        <f>IF('Skill Index'!AV17=9,'Skill Index'!A17,"")</f>
        <v/>
      </c>
      <c r="S19" s="1" t="str">
        <f>IF('Skill Index'!AV17=8,'Skill Index'!A17,"")</f>
        <v/>
      </c>
      <c r="T19" s="1" t="str">
        <f>IF('Skill Index'!AV17=7,'Skill Index'!A17,"")</f>
        <v/>
      </c>
      <c r="U19" s="1" t="str">
        <f>IF('Skill Index'!AV17=6,'Skill Index'!A17,"")</f>
        <v/>
      </c>
      <c r="V19" s="99" t="str">
        <f>IF('Skill Index'!AV17&lt;6,'Skill Index'!A17,"")</f>
        <v>Shreya Ramprakash</v>
      </c>
    </row>
    <row r="20" spans="1:22" x14ac:dyDescent="0.35">
      <c r="A20" s="98" t="str">
        <f>IF('Skill Index'!AU18=10,'Skill Index'!A18,"")</f>
        <v/>
      </c>
      <c r="B20" s="1" t="str">
        <f>IF('Skill Index'!AU18=9,'Skill Index'!A18,"")</f>
        <v/>
      </c>
      <c r="C20" s="1" t="str">
        <f>IF('Skill Index'!AU18=8,'Skill Index'!A18,"")</f>
        <v/>
      </c>
      <c r="D20" s="1" t="str">
        <f>IF('Skill Index'!AU18=7,'Skill Index'!A18,"")</f>
        <v>Shreyas Risodkar</v>
      </c>
      <c r="E20" s="1" t="str">
        <f>IF('Skill Index'!AU18=6,'Skill Index'!A18,"")</f>
        <v/>
      </c>
      <c r="F20" s="99" t="str">
        <f>IF('Skill Index'!AU18&lt;6,'Skill Index'!A18,"")</f>
        <v/>
      </c>
      <c r="I20" s="98" t="str">
        <f>IF('Skill Index'!AT18=10,'Skill Index'!A18,"")</f>
        <v/>
      </c>
      <c r="J20" s="1" t="str">
        <f>IF('Skill Index'!AT18=9,'Skill Index'!A18,"")</f>
        <v/>
      </c>
      <c r="K20" s="1" t="str">
        <f>IF('Skill Index'!AT18=8,'Skill Index'!A18,"")</f>
        <v/>
      </c>
      <c r="L20" s="1" t="str">
        <f>IF('Skill Index'!AT18=7,'Skill Index'!A18,"")</f>
        <v/>
      </c>
      <c r="M20" s="1" t="str">
        <f>IF('Skill Index'!AT18=6,'Skill Index'!A18,"")</f>
        <v/>
      </c>
      <c r="N20" s="99" t="str">
        <f>IF('Skill Index'!AT18&lt;6,'Skill Index'!A18,"")</f>
        <v>Shreyas Risodkar</v>
      </c>
      <c r="Q20" s="98" t="str">
        <f>IF('Skill Index'!AV18=10,'Skill Index'!A18,"")</f>
        <v/>
      </c>
      <c r="R20" s="1" t="str">
        <f>IF('Skill Index'!AV18=9,'Skill Index'!A18,"")</f>
        <v/>
      </c>
      <c r="S20" s="1" t="str">
        <f>IF('Skill Index'!AV18=8,'Skill Index'!A18,"")</f>
        <v/>
      </c>
      <c r="T20" s="1" t="str">
        <f>IF('Skill Index'!AV18=7,'Skill Index'!A18,"")</f>
        <v/>
      </c>
      <c r="U20" s="1" t="str">
        <f>IF('Skill Index'!AV18=6,'Skill Index'!A18,"")</f>
        <v/>
      </c>
      <c r="V20" s="99" t="str">
        <f>IF('Skill Index'!AV18&lt;6,'Skill Index'!A18,"")</f>
        <v>Shreyas Risodkar</v>
      </c>
    </row>
    <row r="21" spans="1:22" x14ac:dyDescent="0.35">
      <c r="A21" s="98" t="str">
        <f>IF('Skill Index'!AU19=10,'Skill Index'!A19,"")</f>
        <v/>
      </c>
      <c r="B21" s="1" t="str">
        <f>IF('Skill Index'!AU19=9,'Skill Index'!A19,"")</f>
        <v/>
      </c>
      <c r="C21" s="1" t="str">
        <f>IF('Skill Index'!AU19=8,'Skill Index'!A19,"")</f>
        <v/>
      </c>
      <c r="D21" s="1" t="str">
        <f>IF('Skill Index'!AU19=7,'Skill Index'!A19,"")</f>
        <v/>
      </c>
      <c r="E21" s="1" t="str">
        <f>IF('Skill Index'!AU19=6,'Skill Index'!A19,"")</f>
        <v/>
      </c>
      <c r="F21" s="99" t="str">
        <f>IF('Skill Index'!AU19&lt;6,'Skill Index'!A19,"")</f>
        <v>Srikirti Raj</v>
      </c>
      <c r="I21" s="98" t="str">
        <f>IF('Skill Index'!AT19=10,'Skill Index'!A19,"")</f>
        <v/>
      </c>
      <c r="J21" s="1" t="str">
        <f>IF('Skill Index'!AT19=9,'Skill Index'!A19,"")</f>
        <v/>
      </c>
      <c r="K21" s="1" t="str">
        <f>IF('Skill Index'!AT19=8,'Skill Index'!A19,"")</f>
        <v/>
      </c>
      <c r="L21" s="1" t="str">
        <f>IF('Skill Index'!AT19=7,'Skill Index'!A19,"")</f>
        <v/>
      </c>
      <c r="M21" s="1" t="str">
        <f>IF('Skill Index'!AT19=6,'Skill Index'!A19,"")</f>
        <v/>
      </c>
      <c r="N21" s="99" t="str">
        <f>IF('Skill Index'!AT19&lt;6,'Skill Index'!A19,"")</f>
        <v>Srikirti Raj</v>
      </c>
      <c r="Q21" s="98" t="str">
        <f>IF('Skill Index'!AV19=10,'Skill Index'!A19,"")</f>
        <v/>
      </c>
      <c r="R21" s="1" t="str">
        <f>IF('Skill Index'!AV19=9,'Skill Index'!A19,"")</f>
        <v/>
      </c>
      <c r="S21" s="1" t="str">
        <f>IF('Skill Index'!AV19=8,'Skill Index'!A19,"")</f>
        <v/>
      </c>
      <c r="T21" s="1" t="str">
        <f>IF('Skill Index'!AV19=7,'Skill Index'!A19,"")</f>
        <v/>
      </c>
      <c r="U21" s="1" t="str">
        <f>IF('Skill Index'!AV19=6,'Skill Index'!A19,"")</f>
        <v/>
      </c>
      <c r="V21" s="99" t="str">
        <f>IF('Skill Index'!AV19&lt;6,'Skill Index'!A19,"")</f>
        <v>Srikirti Raj</v>
      </c>
    </row>
    <row r="22" spans="1:22" x14ac:dyDescent="0.35">
      <c r="A22" s="98" t="str">
        <f>IF('Skill Index'!AU20=10,'Skill Index'!A20,"")</f>
        <v/>
      </c>
      <c r="B22" s="1" t="str">
        <f>IF('Skill Index'!AU20=9,'Skill Index'!A20,"")</f>
        <v/>
      </c>
      <c r="C22" s="1" t="str">
        <f>IF('Skill Index'!AU20=8,'Skill Index'!A20,"")</f>
        <v/>
      </c>
      <c r="D22" s="1" t="str">
        <f>IF('Skill Index'!AU20=7,'Skill Index'!A20,"")</f>
        <v>Swetha KJ</v>
      </c>
      <c r="E22" s="1" t="str">
        <f>IF('Skill Index'!AU20=6,'Skill Index'!A20,"")</f>
        <v/>
      </c>
      <c r="F22" s="99" t="str">
        <f>IF('Skill Index'!AU20&lt;6,'Skill Index'!A20,"")</f>
        <v/>
      </c>
      <c r="I22" s="98" t="str">
        <f>IF('Skill Index'!AT20=10,'Skill Index'!A20,"")</f>
        <v/>
      </c>
      <c r="J22" s="1" t="str">
        <f>IF('Skill Index'!AT20=9,'Skill Index'!A20,"")</f>
        <v/>
      </c>
      <c r="K22" s="1" t="str">
        <f>IF('Skill Index'!AT20=8,'Skill Index'!A20,"")</f>
        <v/>
      </c>
      <c r="L22" s="1" t="str">
        <f>IF('Skill Index'!AT20=7,'Skill Index'!A20,"")</f>
        <v/>
      </c>
      <c r="M22" s="1" t="str">
        <f>IF('Skill Index'!AT20=6,'Skill Index'!A20,"")</f>
        <v/>
      </c>
      <c r="N22" s="99" t="str">
        <f>IF('Skill Index'!AT20&lt;6,'Skill Index'!A20,"")</f>
        <v>Swetha KJ</v>
      </c>
      <c r="Q22" s="98" t="str">
        <f>IF('Skill Index'!AV20=10,'Skill Index'!A20,"")</f>
        <v/>
      </c>
      <c r="R22" s="1" t="str">
        <f>IF('Skill Index'!AV20=9,'Skill Index'!A20,"")</f>
        <v/>
      </c>
      <c r="S22" s="1" t="str">
        <f>IF('Skill Index'!AV20=8,'Skill Index'!A20,"")</f>
        <v/>
      </c>
      <c r="T22" s="1" t="str">
        <f>IF('Skill Index'!AV20=7,'Skill Index'!A20,"")</f>
        <v/>
      </c>
      <c r="U22" s="1" t="str">
        <f>IF('Skill Index'!AV20=6,'Skill Index'!A20,"")</f>
        <v/>
      </c>
      <c r="V22" s="99" t="str">
        <f>IF('Skill Index'!AV20&lt;6,'Skill Index'!A20,"")</f>
        <v>Swetha KJ</v>
      </c>
    </row>
  </sheetData>
  <mergeCells count="3">
    <mergeCell ref="A1:F2"/>
    <mergeCell ref="I1:N2"/>
    <mergeCell ref="Q1:V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D4E6-D568-4F1D-A861-2C7EFE27DDD3}">
  <sheetPr codeName="Sheet36"/>
  <dimension ref="A1:F22"/>
  <sheetViews>
    <sheetView workbookViewId="0">
      <selection activeCell="F11" sqref="F11"/>
    </sheetView>
  </sheetViews>
  <sheetFormatPr defaultRowHeight="14.5" x14ac:dyDescent="0.35"/>
  <cols>
    <col min="1" max="1" width="13.1796875" customWidth="1"/>
    <col min="3" max="4" width="17.453125" bestFit="1" customWidth="1"/>
    <col min="5" max="5" width="15" bestFit="1" customWidth="1"/>
    <col min="6" max="6" width="16.81640625" bestFit="1" customWidth="1"/>
  </cols>
  <sheetData>
    <row r="1" spans="1:6" x14ac:dyDescent="0.35">
      <c r="A1" s="84" t="s">
        <v>27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Index'!AR4=10,'Skill Index'!A4,"")</f>
        <v/>
      </c>
      <c r="B6" s="1" t="str">
        <f>IF('Skill Index'!AR4=9,'Skill Index'!A4,"")</f>
        <v/>
      </c>
      <c r="C6" s="1" t="str">
        <f>IF('Skill Index'!AR4=8,'Skill Index'!A4,"")</f>
        <v/>
      </c>
      <c r="D6" s="1" t="str">
        <f>IF('Skill Index'!AR4=7,'Skill Index'!A4,"")</f>
        <v>Ankit Rajput</v>
      </c>
      <c r="E6" s="1" t="str">
        <f>IF('Skill Index'!AR4=6,'Skill Index'!A4,"")</f>
        <v/>
      </c>
      <c r="F6" s="1" t="str">
        <f>IF('Skill Index'!AR4&lt;6,'Skill Index'!A4,"")</f>
        <v/>
      </c>
    </row>
    <row r="7" spans="1:6" x14ac:dyDescent="0.35">
      <c r="A7" s="1" t="str">
        <f>IF('Skill Index'!AR5=10,'Skill Index'!A5,"")</f>
        <v/>
      </c>
      <c r="B7" s="1" t="str">
        <f>IF('Skill Index'!AR5=9,'Skill Index'!A5,"")</f>
        <v/>
      </c>
      <c r="C7" s="1" t="str">
        <f>IF('Skill Index'!AR5=8,'Skill Index'!A5,"")</f>
        <v/>
      </c>
      <c r="D7" s="1" t="str">
        <f>IF('Skill Index'!AR5=7,'Skill Index'!A5,"")</f>
        <v>Anusha Gunda</v>
      </c>
      <c r="E7" s="1" t="str">
        <f>IF('Skill Index'!AR5=6,'Skill Index'!A5,"")</f>
        <v/>
      </c>
      <c r="F7" s="1" t="str">
        <f>IF('Skill Index'!AR5&lt;6,'Skill Index'!A5,"")</f>
        <v/>
      </c>
    </row>
    <row r="8" spans="1:6" x14ac:dyDescent="0.35">
      <c r="A8" s="1" t="str">
        <f>IF('Skill Index'!AR6=10,'Skill Index'!A6,"")</f>
        <v/>
      </c>
      <c r="B8" s="1" t="str">
        <f>IF('Skill Index'!AR6=9,'Skill Index'!A6,"")</f>
        <v/>
      </c>
      <c r="C8" s="1" t="str">
        <f>IF('Skill Index'!AR6=8,'Skill Index'!A6,"")</f>
        <v/>
      </c>
      <c r="D8" s="1" t="str">
        <f>IF('Skill Index'!AR6=7,'Skill Index'!A6,"")</f>
        <v/>
      </c>
      <c r="E8" s="1" t="str">
        <f>IF('Skill Index'!AR6=6,'Skill Index'!A6,"")</f>
        <v/>
      </c>
      <c r="F8" s="1" t="str">
        <f>IF('Skill Index'!AR6&lt;6,'Skill Index'!A6,"")</f>
        <v>Arun Kumar</v>
      </c>
    </row>
    <row r="9" spans="1:6" x14ac:dyDescent="0.35">
      <c r="A9" s="1" t="str">
        <f>IF('Skill Index'!AR7=10,'Skill Index'!A7,"")</f>
        <v/>
      </c>
      <c r="B9" s="1" t="str">
        <f>IF('Skill Index'!AR7=9,'Skill Index'!A7,"")</f>
        <v/>
      </c>
      <c r="C9" s="1" t="str">
        <f>IF('Skill Index'!AR7=8,'Skill Index'!A7,"")</f>
        <v/>
      </c>
      <c r="D9" s="1" t="str">
        <f>IF('Skill Index'!AR7=7,'Skill Index'!A7,"")</f>
        <v/>
      </c>
      <c r="E9" s="1" t="str">
        <f>IF('Skill Index'!AR7=6,'Skill Index'!A7,"")</f>
        <v>Ashraya H D</v>
      </c>
      <c r="F9" s="1" t="str">
        <f>IF('Skill Index'!AR7&lt;6,'Skill Index'!A7,"")</f>
        <v/>
      </c>
    </row>
    <row r="10" spans="1:6" x14ac:dyDescent="0.35">
      <c r="A10" s="1" t="str">
        <f>IF('Skill Index'!AR8=10,'Skill Index'!A8,"")</f>
        <v/>
      </c>
      <c r="B10" s="1" t="str">
        <f>IF('Skill Index'!AR8=9,'Skill Index'!A8,"")</f>
        <v/>
      </c>
      <c r="C10" s="1" t="str">
        <f>IF('Skill Index'!AR8=8,'Skill Index'!A8,"")</f>
        <v/>
      </c>
      <c r="D10" s="1" t="str">
        <f>IF('Skill Index'!AR8=7,'Skill Index'!A8,"")</f>
        <v/>
      </c>
      <c r="E10" s="1" t="str">
        <f>IF('Skill Index'!AR8=6,'Skill Index'!A8,"")</f>
        <v>Jeet Doshi</v>
      </c>
      <c r="F10" s="1" t="str">
        <f>IF('Skill Index'!AR8&lt;6,'Skill Index'!A8,"")</f>
        <v/>
      </c>
    </row>
    <row r="11" spans="1:6" x14ac:dyDescent="0.35">
      <c r="A11" s="1" t="str">
        <f>IF('Skill Index'!AR9=10,'Skill Index'!A9,"")</f>
        <v/>
      </c>
      <c r="B11" s="1" t="str">
        <f>IF('Skill Index'!AR9=9,'Skill Index'!A9,"")</f>
        <v/>
      </c>
      <c r="C11" s="1" t="str">
        <f>IF('Skill Index'!AR9=8,'Skill Index'!A9,"")</f>
        <v/>
      </c>
      <c r="D11" s="1" t="str">
        <f>IF('Skill Index'!AR9=7,'Skill Index'!A9,"")</f>
        <v>Mahesh Kumar</v>
      </c>
      <c r="E11" s="1" t="str">
        <f>IF('Skill Index'!AR9=6,'Skill Index'!A9,"")</f>
        <v/>
      </c>
      <c r="F11" s="1" t="str">
        <f>IF('Skill Index'!AR9&lt;6,'Skill Index'!A9,"")</f>
        <v/>
      </c>
    </row>
    <row r="12" spans="1:6" x14ac:dyDescent="0.35">
      <c r="A12" s="1" t="str">
        <f>IF('Skill Index'!AR10=10,'Skill Index'!A10,"")</f>
        <v/>
      </c>
      <c r="B12" s="1" t="str">
        <f>IF('Skill Index'!AR10=9,'Skill Index'!A10,"")</f>
        <v/>
      </c>
      <c r="C12" s="1" t="str">
        <f>IF('Skill Index'!AR10=8,'Skill Index'!A10,"")</f>
        <v/>
      </c>
      <c r="D12" s="1" t="str">
        <f>IF('Skill Index'!AR10=7,'Skill Index'!A10,"")</f>
        <v>Nilekha Repaka</v>
      </c>
      <c r="E12" s="1" t="str">
        <f>IF('Skill Index'!AR10=6,'Skill Index'!A10,"")</f>
        <v/>
      </c>
      <c r="F12" s="1" t="str">
        <f>IF('Skill Index'!AR10&lt;6,'Skill Index'!A10,"")</f>
        <v/>
      </c>
    </row>
    <row r="13" spans="1:6" x14ac:dyDescent="0.35">
      <c r="A13" s="1" t="str">
        <f>IF('Skill Index'!AR11=10,'Skill Index'!A11,"")</f>
        <v/>
      </c>
      <c r="B13" s="1" t="str">
        <f>IF('Skill Index'!AR11=9,'Skill Index'!A11,"")</f>
        <v/>
      </c>
      <c r="C13" s="1" t="str">
        <f>IF('Skill Index'!AR11=8,'Skill Index'!A11,"")</f>
        <v>Pawan Rathore</v>
      </c>
      <c r="D13" s="1" t="str">
        <f>IF('Skill Index'!AR11=7,'Skill Index'!A11,"")</f>
        <v/>
      </c>
      <c r="E13" s="1" t="str">
        <f>IF('Skill Index'!AR11=6,'Skill Index'!A11,"")</f>
        <v/>
      </c>
      <c r="F13" s="1" t="str">
        <f>IF('Skill Index'!AR11&lt;6,'Skill Index'!A11,"")</f>
        <v/>
      </c>
    </row>
    <row r="14" spans="1:6" x14ac:dyDescent="0.35">
      <c r="A14" s="1" t="str">
        <f>IF('Skill Index'!AR12=10,'Skill Index'!A12,"")</f>
        <v/>
      </c>
      <c r="B14" s="1" t="str">
        <f>IF('Skill Index'!AR12=9,'Skill Index'!A12,"")</f>
        <v/>
      </c>
      <c r="C14" s="1" t="str">
        <f>IF('Skill Index'!AR12=8,'Skill Index'!A12,"")</f>
        <v>Priyesh Tiwari</v>
      </c>
      <c r="D14" s="1" t="str">
        <f>IF('Skill Index'!AR12=7,'Skill Index'!A12,"")</f>
        <v/>
      </c>
      <c r="E14" s="1" t="str">
        <f>IF('Skill Index'!AR12=6,'Skill Index'!A12,"")</f>
        <v/>
      </c>
      <c r="F14" s="1" t="str">
        <f>IF('Skill Index'!AR12&lt;6,'Skill Index'!A12,"")</f>
        <v/>
      </c>
    </row>
    <row r="15" spans="1:6" x14ac:dyDescent="0.35">
      <c r="A15" s="1" t="str">
        <f>IF('Skill Index'!AR13=10,'Skill Index'!A13,"")</f>
        <v/>
      </c>
      <c r="B15" s="1" t="str">
        <f>IF('Skill Index'!AR13=9,'Skill Index'!A13,"")</f>
        <v/>
      </c>
      <c r="C15" s="1" t="str">
        <f>IF('Skill Index'!AR13=8,'Skill Index'!A13,"")</f>
        <v>Rahul Kumar</v>
      </c>
      <c r="D15" s="1" t="str">
        <f>IF('Skill Index'!AR13=7,'Skill Index'!A13,"")</f>
        <v/>
      </c>
      <c r="E15" s="1" t="str">
        <f>IF('Skill Index'!AR13=6,'Skill Index'!A13,"")</f>
        <v/>
      </c>
      <c r="F15" s="1" t="str">
        <f>IF('Skill Index'!AR13&lt;6,'Skill Index'!A13,"")</f>
        <v/>
      </c>
    </row>
    <row r="16" spans="1:6" x14ac:dyDescent="0.35">
      <c r="A16" s="1" t="str">
        <f>IF('Skill Index'!AR14=10,'Skill Index'!A14,"")</f>
        <v/>
      </c>
      <c r="B16" s="1" t="str">
        <f>IF('Skill Index'!AR14=9,'Skill Index'!A14,"")</f>
        <v/>
      </c>
      <c r="C16" s="1" t="str">
        <f>IF('Skill Index'!AR14=8,'Skill Index'!A14,"")</f>
        <v/>
      </c>
      <c r="D16" s="1" t="str">
        <f>IF('Skill Index'!AR14=7,'Skill Index'!A14,"")</f>
        <v/>
      </c>
      <c r="E16" s="1" t="str">
        <f>IF('Skill Index'!AR14=6,'Skill Index'!A14,"")</f>
        <v>Ramkrishna Kadiya</v>
      </c>
      <c r="F16" s="1" t="str">
        <f>IF('Skill Index'!AR14&lt;6,'Skill Index'!A14,"")</f>
        <v/>
      </c>
    </row>
    <row r="17" spans="1:6" x14ac:dyDescent="0.35">
      <c r="A17" s="1" t="str">
        <f>IF('Skill Index'!AR15=10,'Skill Index'!A15,"")</f>
        <v/>
      </c>
      <c r="B17" s="1" t="str">
        <f>IF('Skill Index'!AR15=9,'Skill Index'!A15,"")</f>
        <v/>
      </c>
      <c r="C17" s="1" t="str">
        <f>IF('Skill Index'!AR15=8,'Skill Index'!A15,"")</f>
        <v/>
      </c>
      <c r="D17" s="1" t="str">
        <f>IF('Skill Index'!AR15=7,'Skill Index'!A15,"")</f>
        <v>Revanth Anguluri</v>
      </c>
      <c r="E17" s="1" t="str">
        <f>IF('Skill Index'!AR15=6,'Skill Index'!A15,"")</f>
        <v/>
      </c>
      <c r="F17" s="1" t="str">
        <f>IF('Skill Index'!AR15&lt;6,'Skill Index'!A15,"")</f>
        <v/>
      </c>
    </row>
    <row r="18" spans="1:6" x14ac:dyDescent="0.35">
      <c r="A18" s="1" t="str">
        <f>IF('Skill Index'!AR16=10,'Skill Index'!A16,"")</f>
        <v/>
      </c>
      <c r="B18" s="1" t="str">
        <f>IF('Skill Index'!AR16=9,'Skill Index'!A16,"")</f>
        <v/>
      </c>
      <c r="C18" s="1" t="str">
        <f>IF('Skill Index'!AR16=8,'Skill Index'!A16,"")</f>
        <v>Sagar Sable</v>
      </c>
      <c r="D18" s="1" t="str">
        <f>IF('Skill Index'!AR16=7,'Skill Index'!A16,"")</f>
        <v/>
      </c>
      <c r="E18" s="1" t="str">
        <f>IF('Skill Index'!AR16=6,'Skill Index'!A16,"")</f>
        <v/>
      </c>
      <c r="F18" s="1" t="str">
        <f>IF('Skill Index'!AR16&lt;6,'Skill Index'!A16,"")</f>
        <v/>
      </c>
    </row>
    <row r="19" spans="1:6" x14ac:dyDescent="0.35">
      <c r="A19" s="1" t="str">
        <f>IF('Skill Index'!AR17=10,'Skill Index'!A17,"")</f>
        <v/>
      </c>
      <c r="B19" s="1" t="str">
        <f>IF('Skill Index'!AR17=9,'Skill Index'!A17,"")</f>
        <v/>
      </c>
      <c r="C19" s="1" t="str">
        <f>IF('Skill Index'!AR17=8,'Skill Index'!A17,"")</f>
        <v>Shreya Ramprakash</v>
      </c>
      <c r="D19" s="1" t="str">
        <f>IF('Skill Index'!AR17=7,'Skill Index'!A17,"")</f>
        <v/>
      </c>
      <c r="E19" s="1" t="str">
        <f>IF('Skill Index'!AR17=6,'Skill Index'!A17,"")</f>
        <v/>
      </c>
      <c r="F19" s="1" t="str">
        <f>IF('Skill Index'!AR17&lt;6,'Skill Index'!A17,"")</f>
        <v/>
      </c>
    </row>
    <row r="20" spans="1:6" x14ac:dyDescent="0.35">
      <c r="A20" s="1" t="str">
        <f>IF('Skill Index'!AR18=10,'Skill Index'!A18,"")</f>
        <v/>
      </c>
      <c r="B20" s="1" t="str">
        <f>IF('Skill Index'!AR18=9,'Skill Index'!A18,"")</f>
        <v/>
      </c>
      <c r="C20" s="1" t="str">
        <f>IF('Skill Index'!AR18=8,'Skill Index'!A18,"")</f>
        <v>Shreyas Risodkar</v>
      </c>
      <c r="D20" s="1" t="str">
        <f>IF('Skill Index'!AR18=7,'Skill Index'!A18,"")</f>
        <v/>
      </c>
      <c r="E20" s="1" t="str">
        <f>IF('Skill Index'!AR18=6,'Skill Index'!A18,"")</f>
        <v/>
      </c>
      <c r="F20" s="1" t="str">
        <f>IF('Skill Index'!AR18&lt;6,'Skill Index'!A18,"")</f>
        <v/>
      </c>
    </row>
    <row r="21" spans="1:6" x14ac:dyDescent="0.35">
      <c r="A21" s="1" t="str">
        <f>IF('Skill Index'!AR19=10,'Skill Index'!A19,"")</f>
        <v/>
      </c>
      <c r="B21" s="1" t="str">
        <f>IF('Skill Index'!AR19=9,'Skill Index'!A19,"")</f>
        <v/>
      </c>
      <c r="C21" s="1" t="str">
        <f>IF('Skill Index'!AR19=8,'Skill Index'!A19,"")</f>
        <v/>
      </c>
      <c r="D21" s="1" t="str">
        <f>IF('Skill Index'!AR19=7,'Skill Index'!A19,"")</f>
        <v>Srikirti Raj</v>
      </c>
      <c r="E21" s="1" t="str">
        <f>IF('Skill Index'!AR19=6,'Skill Index'!A19,"")</f>
        <v/>
      </c>
      <c r="F21" s="1" t="str">
        <f>IF('Skill Index'!AR19&lt;6,'Skill Index'!A19,"")</f>
        <v/>
      </c>
    </row>
    <row r="22" spans="1:6" x14ac:dyDescent="0.35">
      <c r="A22" s="1" t="str">
        <f>IF('Skill Index'!AR20=10,'Skill Index'!A20,"")</f>
        <v/>
      </c>
      <c r="B22" s="1" t="str">
        <f>IF('Skill Index'!AR20=9,'Skill Index'!A20,"")</f>
        <v/>
      </c>
      <c r="C22" s="1" t="str">
        <f>IF('Skill Index'!AR20=8,'Skill Index'!A20,"")</f>
        <v/>
      </c>
      <c r="D22" s="1" t="str">
        <f>IF('Skill Index'!AR20=7,'Skill Index'!A20,"")</f>
        <v>Swetha KJ</v>
      </c>
      <c r="E22" s="1" t="str">
        <f>IF('Skill Index'!AR20=6,'Skill Index'!A20,"")</f>
        <v/>
      </c>
      <c r="F22" s="1" t="str">
        <f>IF('Skill Index'!AR20&lt;6,'Skill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48BA-1CA7-4CB9-A934-FF76F8402D75}">
  <sheetPr codeName="Sheet37"/>
  <dimension ref="A1:F22"/>
  <sheetViews>
    <sheetView workbookViewId="0">
      <selection activeCell="F9" sqref="F9"/>
    </sheetView>
  </sheetViews>
  <sheetFormatPr defaultRowHeight="14.5" x14ac:dyDescent="0.35"/>
  <cols>
    <col min="1" max="1" width="13.1796875" customWidth="1"/>
    <col min="3" max="4" width="17.453125" bestFit="1" customWidth="1"/>
    <col min="5" max="5" width="15" bestFit="1" customWidth="1"/>
    <col min="6" max="6" width="16.81640625" bestFit="1" customWidth="1"/>
  </cols>
  <sheetData>
    <row r="1" spans="1:6" x14ac:dyDescent="0.35">
      <c r="A1" s="84" t="s">
        <v>304</v>
      </c>
      <c r="B1" s="84"/>
      <c r="C1" s="84"/>
      <c r="D1" s="84"/>
      <c r="E1" s="84"/>
      <c r="F1" s="84"/>
    </row>
    <row r="2" spans="1:6" x14ac:dyDescent="0.35">
      <c r="A2" s="84"/>
      <c r="B2" s="84"/>
      <c r="C2" s="84"/>
      <c r="D2" s="84"/>
      <c r="E2" s="84"/>
      <c r="F2" s="84"/>
    </row>
    <row r="5" spans="1:6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</row>
    <row r="6" spans="1:6" x14ac:dyDescent="0.35">
      <c r="A6" s="1" t="str">
        <f>IF('Skill Index'!AQ4=10,'Skill Index'!A4,"")</f>
        <v/>
      </c>
      <c r="B6" s="1" t="str">
        <f>IF('Skill Index'!AQ4=9,'Skill Index'!A4,"")</f>
        <v/>
      </c>
      <c r="C6" s="1" t="str">
        <f>IF('Skill Index'!AQ4=8,'Skill Index'!A4,"")</f>
        <v/>
      </c>
      <c r="D6" s="1" t="str">
        <f>IF('Skill Index'!AQ4=7,'Skill Index'!A4,"")</f>
        <v/>
      </c>
      <c r="E6" s="1" t="str">
        <f>IF('Skill Index'!AQ4=6,'Skill Index'!A4,"")</f>
        <v>Ankit Rajput</v>
      </c>
      <c r="F6" s="1" t="str">
        <f>IF('Skill Index'!AQ4&lt;6,'Skill Index'!A4,"")</f>
        <v/>
      </c>
    </row>
    <row r="7" spans="1:6" x14ac:dyDescent="0.35">
      <c r="A7" s="1" t="str">
        <f>IF('Skill Index'!AQ5=10,'Skill Index'!A5,"")</f>
        <v/>
      </c>
      <c r="B7" s="1" t="str">
        <f>IF('Skill Index'!AQ5=9,'Skill Index'!A5,"")</f>
        <v/>
      </c>
      <c r="C7" s="1" t="str">
        <f>IF('Skill Index'!AQ5=8,'Skill Index'!A5,"")</f>
        <v/>
      </c>
      <c r="D7" s="1" t="str">
        <f>IF('Skill Index'!AQ5=7,'Skill Index'!A5,"")</f>
        <v/>
      </c>
      <c r="E7" s="1" t="str">
        <f>IF('Skill Index'!AQ5=6,'Skill Index'!A5,"")</f>
        <v/>
      </c>
      <c r="F7" s="1" t="str">
        <f>IF('Skill Index'!AQ5&lt;6,'Skill Index'!A5,"")</f>
        <v>Anusha Gunda</v>
      </c>
    </row>
    <row r="8" spans="1:6" x14ac:dyDescent="0.35">
      <c r="A8" s="1" t="str">
        <f>IF('Skill Index'!AQ6=10,'Skill Index'!A6,"")</f>
        <v/>
      </c>
      <c r="B8" s="1" t="str">
        <f>IF('Skill Index'!AQ6=9,'Skill Index'!A6,"")</f>
        <v/>
      </c>
      <c r="C8" s="1" t="str">
        <f>IF('Skill Index'!AQ6=8,'Skill Index'!A6,"")</f>
        <v/>
      </c>
      <c r="D8" s="1" t="str">
        <f>IF('Skill Index'!AQ6=7,'Skill Index'!A6,"")</f>
        <v/>
      </c>
      <c r="E8" s="1" t="str">
        <f>IF('Skill Index'!AQ6=6,'Skill Index'!A6,"")</f>
        <v/>
      </c>
      <c r="F8" s="1" t="str">
        <f>IF('Skill Index'!AQ6&lt;6,'Skill Index'!A6,"")</f>
        <v>Arun Kumar</v>
      </c>
    </row>
    <row r="9" spans="1:6" x14ac:dyDescent="0.35">
      <c r="A9" s="1" t="str">
        <f>IF('Skill Index'!AQ7=10,'Skill Index'!A7,"")</f>
        <v/>
      </c>
      <c r="B9" s="1" t="str">
        <f>IF('Skill Index'!AQ7=9,'Skill Index'!A7,"")</f>
        <v/>
      </c>
      <c r="C9" s="1" t="str">
        <f>IF('Skill Index'!AQ7=8,'Skill Index'!A7,"")</f>
        <v/>
      </c>
      <c r="D9" s="1" t="str">
        <f>IF('Skill Index'!AQ7=7,'Skill Index'!A7,"")</f>
        <v/>
      </c>
      <c r="E9" s="1" t="str">
        <f>IF('Skill Index'!AQ7=6,'Skill Index'!A7,"")</f>
        <v/>
      </c>
      <c r="F9" s="1" t="str">
        <f>IF('Skill Index'!AQ7&lt;6,'Skill Index'!A7,"")</f>
        <v>Ashraya H D</v>
      </c>
    </row>
    <row r="10" spans="1:6" x14ac:dyDescent="0.35">
      <c r="A10" s="1" t="str">
        <f>IF('Skill Index'!AQ8=10,'Skill Index'!A8,"")</f>
        <v/>
      </c>
      <c r="B10" s="1" t="str">
        <f>IF('Skill Index'!AQ8=9,'Skill Index'!A8,"")</f>
        <v/>
      </c>
      <c r="C10" s="1" t="str">
        <f>IF('Skill Index'!AQ8=8,'Skill Index'!A8,"")</f>
        <v/>
      </c>
      <c r="D10" s="1" t="str">
        <f>IF('Skill Index'!AQ8=7,'Skill Index'!A8,"")</f>
        <v/>
      </c>
      <c r="E10" s="1" t="str">
        <f>IF('Skill Index'!AQ8=6,'Skill Index'!A8,"")</f>
        <v/>
      </c>
      <c r="F10" s="1" t="str">
        <f>IF('Skill Index'!AQ8&lt;6,'Skill Index'!A8,"")</f>
        <v>Jeet Doshi</v>
      </c>
    </row>
    <row r="11" spans="1:6" x14ac:dyDescent="0.35">
      <c r="A11" s="1" t="str">
        <f>IF('Skill Index'!AQ9=10,'Skill Index'!A9,"")</f>
        <v/>
      </c>
      <c r="B11" s="1" t="str">
        <f>IF('Skill Index'!AQ9=9,'Skill Index'!A9,"")</f>
        <v/>
      </c>
      <c r="C11" s="1" t="str">
        <f>IF('Skill Index'!AQ9=8,'Skill Index'!A9,"")</f>
        <v/>
      </c>
      <c r="D11" s="1" t="str">
        <f>IF('Skill Index'!AQ9=7,'Skill Index'!A9,"")</f>
        <v/>
      </c>
      <c r="E11" s="1" t="str">
        <f>IF('Skill Index'!AQ9=6,'Skill Index'!A9,"")</f>
        <v/>
      </c>
      <c r="F11" s="1" t="str">
        <f>IF('Skill Index'!AQ9&lt;6,'Skill Index'!A9,"")</f>
        <v>Mahesh Kumar</v>
      </c>
    </row>
    <row r="12" spans="1:6" x14ac:dyDescent="0.35">
      <c r="A12" s="1" t="str">
        <f>IF('Skill Index'!AQ10=10,'Skill Index'!A10,"")</f>
        <v/>
      </c>
      <c r="B12" s="1" t="str">
        <f>IF('Skill Index'!AQ10=9,'Skill Index'!A10,"")</f>
        <v/>
      </c>
      <c r="C12" s="1" t="str">
        <f>IF('Skill Index'!AQ10=8,'Skill Index'!A10,"")</f>
        <v/>
      </c>
      <c r="D12" s="1" t="str">
        <f>IF('Skill Index'!AQ10=7,'Skill Index'!A10,"")</f>
        <v/>
      </c>
      <c r="E12" s="1" t="str">
        <f>IF('Skill Index'!AQ10=6,'Skill Index'!A10,"")</f>
        <v>Nilekha Repaka</v>
      </c>
      <c r="F12" s="1" t="str">
        <f>IF('Skill Index'!AQ10&lt;6,'Skill Index'!A10,"")</f>
        <v/>
      </c>
    </row>
    <row r="13" spans="1:6" x14ac:dyDescent="0.35">
      <c r="A13" s="1" t="str">
        <f>IF('Skill Index'!AQ11=10,'Skill Index'!A11,"")</f>
        <v/>
      </c>
      <c r="B13" s="1" t="str">
        <f>IF('Skill Index'!AQ11=9,'Skill Index'!A11,"")</f>
        <v/>
      </c>
      <c r="C13" s="1" t="str">
        <f>IF('Skill Index'!AQ11=8,'Skill Index'!A11,"")</f>
        <v>Pawan Rathore</v>
      </c>
      <c r="D13" s="1" t="str">
        <f>IF('Skill Index'!AQ11=7,'Skill Index'!A11,"")</f>
        <v/>
      </c>
      <c r="E13" s="1" t="str">
        <f>IF('Skill Index'!AQ11=6,'Skill Index'!A11,"")</f>
        <v/>
      </c>
      <c r="F13" s="1" t="str">
        <f>IF('Skill Index'!AQ11&lt;6,'Skill Index'!A11,"")</f>
        <v/>
      </c>
    </row>
    <row r="14" spans="1:6" x14ac:dyDescent="0.35">
      <c r="A14" s="1" t="str">
        <f>IF('Skill Index'!AQ12=10,'Skill Index'!A12,"")</f>
        <v/>
      </c>
      <c r="B14" s="1" t="str">
        <f>IF('Skill Index'!AQ12=9,'Skill Index'!A12,"")</f>
        <v/>
      </c>
      <c r="C14" s="1" t="str">
        <f>IF('Skill Index'!AQ12=8,'Skill Index'!A12,"")</f>
        <v/>
      </c>
      <c r="D14" s="1" t="str">
        <f>IF('Skill Index'!AQ12=7,'Skill Index'!A12,"")</f>
        <v>Priyesh Tiwari</v>
      </c>
      <c r="E14" s="1" t="str">
        <f>IF('Skill Index'!AQ12=6,'Skill Index'!A12,"")</f>
        <v/>
      </c>
      <c r="F14" s="1" t="str">
        <f>IF('Skill Index'!AQ12&lt;6,'Skill Index'!A12,"")</f>
        <v/>
      </c>
    </row>
    <row r="15" spans="1:6" x14ac:dyDescent="0.35">
      <c r="A15" s="1" t="str">
        <f>IF('Skill Index'!AQ13=10,'Skill Index'!A13,"")</f>
        <v/>
      </c>
      <c r="B15" s="1" t="str">
        <f>IF('Skill Index'!AQ13=9,'Skill Index'!A13,"")</f>
        <v/>
      </c>
      <c r="C15" s="1" t="str">
        <f>IF('Skill Index'!AQ13=8,'Skill Index'!A13,"")</f>
        <v>Rahul Kumar</v>
      </c>
      <c r="D15" s="1" t="str">
        <f>IF('Skill Index'!AQ13=7,'Skill Index'!A13,"")</f>
        <v/>
      </c>
      <c r="E15" s="1" t="str">
        <f>IF('Skill Index'!AQ13=6,'Skill Index'!A13,"")</f>
        <v/>
      </c>
      <c r="F15" s="1" t="str">
        <f>IF('Skill Index'!AQ13&lt;6,'Skill Index'!A13,"")</f>
        <v/>
      </c>
    </row>
    <row r="16" spans="1:6" x14ac:dyDescent="0.35">
      <c r="A16" s="1" t="str">
        <f>IF('Skill Index'!AQ14=10,'Skill Index'!A14,"")</f>
        <v/>
      </c>
      <c r="B16" s="1" t="str">
        <f>IF('Skill Index'!AQ14=9,'Skill Index'!A14,"")</f>
        <v/>
      </c>
      <c r="C16" s="1" t="str">
        <f>IF('Skill Index'!AQ14=8,'Skill Index'!A14,"")</f>
        <v/>
      </c>
      <c r="D16" s="1" t="str">
        <f>IF('Skill Index'!AQ14=7,'Skill Index'!A14,"")</f>
        <v/>
      </c>
      <c r="E16" s="1" t="str">
        <f>IF('Skill Index'!AQ14=6,'Skill Index'!A14,"")</f>
        <v>Ramkrishna Kadiya</v>
      </c>
      <c r="F16" s="1" t="str">
        <f>IF('Skill Index'!AQ14&lt;6,'Skill Index'!A14,"")</f>
        <v/>
      </c>
    </row>
    <row r="17" spans="1:6" x14ac:dyDescent="0.35">
      <c r="A17" s="1" t="str">
        <f>IF('Skill Index'!AQ15=10,'Skill Index'!A15,"")</f>
        <v/>
      </c>
      <c r="B17" s="1" t="str">
        <f>IF('Skill Index'!AQ15=9,'Skill Index'!A15,"")</f>
        <v/>
      </c>
      <c r="C17" s="1" t="str">
        <f>IF('Skill Index'!AQ15=8,'Skill Index'!A15,"")</f>
        <v>Revanth Anguluri</v>
      </c>
      <c r="D17" s="1" t="str">
        <f>IF('Skill Index'!AQ15=7,'Skill Index'!A15,"")</f>
        <v/>
      </c>
      <c r="E17" s="1" t="str">
        <f>IF('Skill Index'!AQ15=6,'Skill Index'!A15,"")</f>
        <v/>
      </c>
      <c r="F17" s="1" t="str">
        <f>IF('Skill Index'!AQ15&lt;6,'Skill Index'!A15,"")</f>
        <v/>
      </c>
    </row>
    <row r="18" spans="1:6" x14ac:dyDescent="0.35">
      <c r="A18" s="1" t="str">
        <f>IF('Skill Index'!AQ16=10,'Skill Index'!A16,"")</f>
        <v/>
      </c>
      <c r="B18" s="1" t="str">
        <f>IF('Skill Index'!AQ16=9,'Skill Index'!A16,"")</f>
        <v/>
      </c>
      <c r="C18" s="1" t="str">
        <f>IF('Skill Index'!AQ16=8,'Skill Index'!A16,"")</f>
        <v>Sagar Sable</v>
      </c>
      <c r="D18" s="1" t="str">
        <f>IF('Skill Index'!AQ16=7,'Skill Index'!A16,"")</f>
        <v/>
      </c>
      <c r="E18" s="1" t="str">
        <f>IF('Skill Index'!AQ16=6,'Skill Index'!A16,"")</f>
        <v/>
      </c>
      <c r="F18" s="1" t="str">
        <f>IF('Skill Index'!AQ16&lt;6,'Skill Index'!A16,"")</f>
        <v/>
      </c>
    </row>
    <row r="19" spans="1:6" x14ac:dyDescent="0.35">
      <c r="A19" s="1" t="str">
        <f>IF('Skill Index'!AQ17=10,'Skill Index'!A17,"")</f>
        <v/>
      </c>
      <c r="B19" s="1" t="str">
        <f>IF('Skill Index'!AQ17=9,'Skill Index'!A17,"")</f>
        <v/>
      </c>
      <c r="C19" s="1" t="str">
        <f>IF('Skill Index'!AQ17=8,'Skill Index'!A17,"")</f>
        <v>Shreya Ramprakash</v>
      </c>
      <c r="D19" s="1" t="str">
        <f>IF('Skill Index'!AQ17=7,'Skill Index'!A17,"")</f>
        <v/>
      </c>
      <c r="E19" s="1" t="str">
        <f>IF('Skill Index'!AQ17=6,'Skill Index'!A17,"")</f>
        <v/>
      </c>
      <c r="F19" s="1" t="str">
        <f>IF('Skill Index'!AQ17&lt;6,'Skill Index'!A17,"")</f>
        <v/>
      </c>
    </row>
    <row r="20" spans="1:6" x14ac:dyDescent="0.35">
      <c r="A20" s="1" t="str">
        <f>IF('Skill Index'!AQ18=10,'Skill Index'!A18,"")</f>
        <v/>
      </c>
      <c r="B20" s="1" t="str">
        <f>IF('Skill Index'!AQ18=9,'Skill Index'!A18,"")</f>
        <v/>
      </c>
      <c r="C20" s="1" t="str">
        <f>IF('Skill Index'!AQ18=8,'Skill Index'!A18,"")</f>
        <v>Shreyas Risodkar</v>
      </c>
      <c r="D20" s="1" t="str">
        <f>IF('Skill Index'!AQ18=7,'Skill Index'!A18,"")</f>
        <v/>
      </c>
      <c r="E20" s="1" t="str">
        <f>IF('Skill Index'!AQ18=6,'Skill Index'!A18,"")</f>
        <v/>
      </c>
      <c r="F20" s="1" t="str">
        <f>IF('Skill Index'!AQ18&lt;6,'Skill Index'!A18,"")</f>
        <v/>
      </c>
    </row>
    <row r="21" spans="1:6" x14ac:dyDescent="0.35">
      <c r="A21" s="1" t="str">
        <f>IF('Skill Index'!AQ19=10,'Skill Index'!A19,"")</f>
        <v/>
      </c>
      <c r="B21" s="1" t="str">
        <f>IF('Skill Index'!AQ19=9,'Skill Index'!A19,"")</f>
        <v/>
      </c>
      <c r="C21" s="1" t="str">
        <f>IF('Skill Index'!AQ19=8,'Skill Index'!A19,"")</f>
        <v/>
      </c>
      <c r="D21" s="1" t="str">
        <f>IF('Skill Index'!AQ19=7,'Skill Index'!A19,"")</f>
        <v>Srikirti Raj</v>
      </c>
      <c r="E21" s="1" t="str">
        <f>IF('Skill Index'!AQ19=6,'Skill Index'!A19,"")</f>
        <v/>
      </c>
      <c r="F21" s="1" t="str">
        <f>IF('Skill Index'!AQ19&lt;6,'Skill Index'!A19,"")</f>
        <v/>
      </c>
    </row>
    <row r="22" spans="1:6" x14ac:dyDescent="0.35">
      <c r="A22" s="1" t="str">
        <f>IF('Skill Index'!AQ20=10,'Skill Index'!A20,"")</f>
        <v/>
      </c>
      <c r="B22" s="1" t="str">
        <f>IF('Skill Index'!AQ20=9,'Skill Index'!A20,"")</f>
        <v/>
      </c>
      <c r="C22" s="1" t="str">
        <f>IF('Skill Index'!AQ20=8,'Skill Index'!A20,"")</f>
        <v/>
      </c>
      <c r="D22" s="1" t="str">
        <f>IF('Skill Index'!AQ20=7,'Skill Index'!A20,"")</f>
        <v/>
      </c>
      <c r="E22" s="1" t="str">
        <f>IF('Skill Index'!AQ20=6,'Skill Index'!A20,"")</f>
        <v>Swetha KJ</v>
      </c>
      <c r="F22" s="1" t="str">
        <f>IF('Skill Index'!AQ20&lt;6,'Skill Index'!A20,"")</f>
        <v/>
      </c>
    </row>
  </sheetData>
  <mergeCells count="1">
    <mergeCell ref="A1:F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905B-959A-42D2-AF14-D1C6AB2BBA36}">
  <sheetPr codeName="Sheet38"/>
  <dimension ref="A1:V22"/>
  <sheetViews>
    <sheetView workbookViewId="0">
      <selection activeCell="I11" sqref="I11"/>
    </sheetView>
  </sheetViews>
  <sheetFormatPr defaultRowHeight="14.5" x14ac:dyDescent="0.35"/>
  <cols>
    <col min="1" max="1" width="13.1796875" customWidth="1"/>
    <col min="2" max="2" width="17.453125" bestFit="1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12.36328125" bestFit="1" customWidth="1"/>
    <col min="11" max="11" width="13.6328125" bestFit="1" customWidth="1"/>
    <col min="12" max="12" width="11" bestFit="1" customWidth="1"/>
    <col min="13" max="13" width="13.36328125" bestFit="1" customWidth="1"/>
    <col min="14" max="14" width="20.1796875" customWidth="1"/>
    <col min="17" max="17" width="17.453125" bestFit="1" customWidth="1"/>
    <col min="19" max="19" width="13.6328125" bestFit="1" customWidth="1"/>
    <col min="20" max="20" width="15.1796875" bestFit="1" customWidth="1"/>
    <col min="21" max="21" width="13.36328125" bestFit="1" customWidth="1"/>
    <col min="22" max="22" width="16.81640625" bestFit="1" customWidth="1"/>
  </cols>
  <sheetData>
    <row r="1" spans="1:22" ht="14.5" customHeight="1" x14ac:dyDescent="0.35">
      <c r="A1" s="87" t="s">
        <v>305</v>
      </c>
      <c r="B1" s="88"/>
      <c r="C1" s="88"/>
      <c r="D1" s="88"/>
      <c r="E1" s="88"/>
      <c r="F1" s="89"/>
      <c r="I1" s="87" t="s">
        <v>306</v>
      </c>
      <c r="J1" s="88"/>
      <c r="K1" s="88"/>
      <c r="L1" s="88"/>
      <c r="M1" s="88"/>
      <c r="N1" s="89"/>
      <c r="Q1" s="108" t="s">
        <v>307</v>
      </c>
      <c r="R1" s="103"/>
      <c r="S1" s="103"/>
      <c r="T1" s="103"/>
      <c r="U1" s="103"/>
      <c r="V1" s="104"/>
    </row>
    <row r="2" spans="1:22" ht="14.5" customHeight="1" x14ac:dyDescent="0.35">
      <c r="A2" s="90"/>
      <c r="B2" s="91"/>
      <c r="C2" s="91"/>
      <c r="D2" s="91"/>
      <c r="E2" s="91"/>
      <c r="F2" s="92"/>
      <c r="I2" s="90"/>
      <c r="J2" s="91"/>
      <c r="K2" s="91"/>
      <c r="L2" s="91"/>
      <c r="M2" s="91"/>
      <c r="N2" s="92"/>
      <c r="Q2" s="105"/>
      <c r="R2" s="106"/>
      <c r="S2" s="106"/>
      <c r="T2" s="106"/>
      <c r="U2" s="106"/>
      <c r="V2" s="107"/>
    </row>
    <row r="3" spans="1:22" x14ac:dyDescent="0.35">
      <c r="A3" s="93"/>
      <c r="B3" s="94"/>
      <c r="C3" s="94"/>
      <c r="D3" s="94"/>
      <c r="E3" s="94"/>
      <c r="F3" s="95"/>
      <c r="I3" s="93"/>
      <c r="J3" s="94"/>
      <c r="K3" s="94"/>
      <c r="L3" s="94"/>
      <c r="M3" s="94"/>
      <c r="N3" s="95"/>
      <c r="Q3" s="93"/>
      <c r="R3" s="94"/>
      <c r="S3" s="94"/>
      <c r="T3" s="94"/>
      <c r="U3" s="94"/>
      <c r="V3" s="95"/>
    </row>
    <row r="4" spans="1:22" x14ac:dyDescent="0.35">
      <c r="A4" s="93"/>
      <c r="B4" s="94"/>
      <c r="C4" s="94"/>
      <c r="D4" s="94"/>
      <c r="E4" s="94"/>
      <c r="F4" s="95"/>
      <c r="I4" s="93"/>
      <c r="J4" s="94"/>
      <c r="K4" s="94"/>
      <c r="L4" s="94"/>
      <c r="M4" s="94"/>
      <c r="N4" s="95"/>
      <c r="Q4" s="93"/>
      <c r="R4" s="94"/>
      <c r="S4" s="94"/>
      <c r="T4" s="94"/>
      <c r="U4" s="94"/>
      <c r="V4" s="95"/>
    </row>
    <row r="5" spans="1:22" x14ac:dyDescent="0.35">
      <c r="A5" s="96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97" t="s">
        <v>286</v>
      </c>
      <c r="I5" s="96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97" t="s">
        <v>286</v>
      </c>
      <c r="Q5" s="96" t="s">
        <v>210</v>
      </c>
      <c r="R5" s="85" t="s">
        <v>213</v>
      </c>
      <c r="S5" s="85" t="s">
        <v>217</v>
      </c>
      <c r="T5" s="85" t="s">
        <v>221</v>
      </c>
      <c r="U5" s="85" t="s">
        <v>225</v>
      </c>
      <c r="V5" s="97" t="s">
        <v>286</v>
      </c>
    </row>
    <row r="6" spans="1:22" x14ac:dyDescent="0.35">
      <c r="A6" s="98" t="str">
        <f>IF('Skill Index'!AW4=10,'Skill Index'!A4,"")</f>
        <v/>
      </c>
      <c r="B6" s="1" t="str">
        <f>IF('Skill Index'!AW4=9,'Skill Index'!A4,"")</f>
        <v>Ankit Rajput</v>
      </c>
      <c r="C6" s="1" t="str">
        <f>IF('Skill Index'!AW4=8,'Skill Index'!A4,"")</f>
        <v/>
      </c>
      <c r="D6" s="1" t="str">
        <f>IF('Skill Index'!AW4=7,'Skill Index'!A4,"")</f>
        <v/>
      </c>
      <c r="E6" s="1" t="str">
        <f>IF('Skill Index'!AW4=6,'Skill Index'!A4,"")</f>
        <v/>
      </c>
      <c r="F6" s="99" t="str">
        <f>IF('Skill Index'!AW4&lt;6,'Skill Index'!A4,"")</f>
        <v/>
      </c>
      <c r="I6" s="98" t="str">
        <f>IF('Skill Index'!AX4=10,'Skill Index'!A4,"")</f>
        <v/>
      </c>
      <c r="J6" s="1" t="str">
        <f>IF('Skill Index'!AX4=9,'Skill Index'!A4,"")</f>
        <v/>
      </c>
      <c r="K6" s="1" t="str">
        <f>IF('Skill Index'!AX4=8,'Skill Index'!A4,"")</f>
        <v>Ankit Rajput</v>
      </c>
      <c r="L6" s="1" t="str">
        <f>IF('Skill Index'!AX4=7,'Skill Index'!A4,"")</f>
        <v/>
      </c>
      <c r="M6" s="1" t="str">
        <f>IF('Skill Index'!AX4=6,'Skill Index'!A4,"")</f>
        <v/>
      </c>
      <c r="N6" s="99" t="str">
        <f>IF('Skill Index'!AX4&lt;6,'Skill Index'!A4,"")</f>
        <v/>
      </c>
      <c r="Q6" s="98" t="str">
        <f>IF('Skill Index'!AY4=10,'Skill Index'!A4,"")</f>
        <v/>
      </c>
      <c r="R6" s="1" t="str">
        <f>IF('Skill Index'!AY4=9,'Skill Index'!A4,"")</f>
        <v/>
      </c>
      <c r="S6" s="1" t="str">
        <f>IF('Skill Index'!AY4=8,'Skill Index'!A4,"")</f>
        <v/>
      </c>
      <c r="T6" s="1" t="str">
        <f>IF('Skill Index'!AY4=7,'Skill Index'!A4,"")</f>
        <v>Ankit Rajput</v>
      </c>
      <c r="U6" s="1" t="str">
        <f>IF('Skill Index'!AY4=6,'Skill Index'!A4,"")</f>
        <v/>
      </c>
      <c r="V6" s="99" t="str">
        <f>IF('Skill Index'!AY4&lt;6,'Skill Index'!A4,"")</f>
        <v/>
      </c>
    </row>
    <row r="7" spans="1:22" x14ac:dyDescent="0.35">
      <c r="A7" s="98" t="str">
        <f>IF('Skill Index'!AW5=10,'Skill Index'!A5,"")</f>
        <v/>
      </c>
      <c r="B7" s="1" t="str">
        <f>IF('Skill Index'!AW5=9,'Skill Index'!A5,"")</f>
        <v/>
      </c>
      <c r="C7" s="1" t="str">
        <f>IF('Skill Index'!AW5=8,'Skill Index'!A5,"")</f>
        <v/>
      </c>
      <c r="D7" s="1" t="str">
        <f>IF('Skill Index'!AW5=7,'Skill Index'!A5,"")</f>
        <v/>
      </c>
      <c r="E7" s="1" t="str">
        <f>IF('Skill Index'!AW5=6,'Skill Index'!A5,"")</f>
        <v/>
      </c>
      <c r="F7" s="99" t="str">
        <f>IF('Skill Index'!AW5&lt;6,'Skill Index'!A5,"")</f>
        <v>Anusha Gunda</v>
      </c>
      <c r="I7" s="98" t="str">
        <f>IF('Skill Index'!AX5=10,'Skill Index'!A5,"")</f>
        <v/>
      </c>
      <c r="J7" s="1" t="str">
        <f>IF('Skill Index'!AX5=9,'Skill Index'!A5,"")</f>
        <v/>
      </c>
      <c r="K7" s="1" t="str">
        <f>IF('Skill Index'!AX5=8,'Skill Index'!A5,"")</f>
        <v/>
      </c>
      <c r="L7" s="1" t="str">
        <f>IF('Skill Index'!AX5=7,'Skill Index'!A5,"")</f>
        <v/>
      </c>
      <c r="M7" s="1" t="str">
        <f>IF('Skill Index'!AX5=6,'Skill Index'!A5,"")</f>
        <v/>
      </c>
      <c r="N7" s="99" t="str">
        <f>IF('Skill Index'!AX5&lt;6,'Skill Index'!A5,"")</f>
        <v>Anusha Gunda</v>
      </c>
      <c r="Q7" s="98" t="str">
        <f>IF('Skill Index'!AY5=10,'Skill Index'!A5,"")</f>
        <v/>
      </c>
      <c r="R7" s="1" t="str">
        <f>IF('Skill Index'!AY5=9,'Skill Index'!A5,"")</f>
        <v/>
      </c>
      <c r="S7" s="1" t="str">
        <f>IF('Skill Index'!AY5=8,'Skill Index'!A5,"")</f>
        <v/>
      </c>
      <c r="T7" s="1" t="str">
        <f>IF('Skill Index'!AY5=7,'Skill Index'!A5,"")</f>
        <v/>
      </c>
      <c r="U7" s="1" t="str">
        <f>IF('Skill Index'!AY5=6,'Skill Index'!A5,"")</f>
        <v/>
      </c>
      <c r="V7" s="99" t="str">
        <f>IF('Skill Index'!AY5&lt;6,'Skill Index'!A5,"")</f>
        <v>Anusha Gunda</v>
      </c>
    </row>
    <row r="8" spans="1:22" x14ac:dyDescent="0.35">
      <c r="A8" s="98" t="str">
        <f>IF('Skill Index'!AW6=10,'Skill Index'!A6,"")</f>
        <v/>
      </c>
      <c r="B8" s="1" t="str">
        <f>IF('Skill Index'!AW6=9,'Skill Index'!A6,"")</f>
        <v/>
      </c>
      <c r="C8" s="1" t="str">
        <f>IF('Skill Index'!AW6=8,'Skill Index'!A6,"")</f>
        <v/>
      </c>
      <c r="D8" s="1" t="str">
        <f>IF('Skill Index'!AW6=7,'Skill Index'!A6,"")</f>
        <v/>
      </c>
      <c r="E8" s="1" t="str">
        <f>IF('Skill Index'!AW6=6,'Skill Index'!A6,"")</f>
        <v/>
      </c>
      <c r="F8" s="99" t="str">
        <f>IF('Skill Index'!AW6&lt;6,'Skill Index'!A6,"")</f>
        <v>Arun Kumar</v>
      </c>
      <c r="I8" s="98" t="str">
        <f>IF('Skill Index'!AX6=10,'Skill Index'!A6,"")</f>
        <v/>
      </c>
      <c r="J8" s="1" t="str">
        <f>IF('Skill Index'!AX6=9,'Skill Index'!A6,"")</f>
        <v/>
      </c>
      <c r="K8" s="1" t="str">
        <f>IF('Skill Index'!AX6=8,'Skill Index'!A6,"")</f>
        <v/>
      </c>
      <c r="L8" s="1" t="str">
        <f>IF('Skill Index'!AX6=7,'Skill Index'!A6,"")</f>
        <v/>
      </c>
      <c r="M8" s="1" t="str">
        <f>IF('Skill Index'!AX6=6,'Skill Index'!A6,"")</f>
        <v/>
      </c>
      <c r="N8" s="99" t="str">
        <f>IF('Skill Index'!AX6&lt;6,'Skill Index'!A6,"")</f>
        <v>Arun Kumar</v>
      </c>
      <c r="Q8" s="98" t="str">
        <f>IF('Skill Index'!AY6=10,'Skill Index'!A6,"")</f>
        <v/>
      </c>
      <c r="R8" s="1" t="str">
        <f>IF('Skill Index'!AY6=9,'Skill Index'!A6,"")</f>
        <v/>
      </c>
      <c r="S8" s="1" t="str">
        <f>IF('Skill Index'!AY6=8,'Skill Index'!A6,"")</f>
        <v/>
      </c>
      <c r="T8" s="1" t="str">
        <f>IF('Skill Index'!AY6=7,'Skill Index'!A6,"")</f>
        <v/>
      </c>
      <c r="U8" s="1" t="str">
        <f>IF('Skill Index'!AY6=6,'Skill Index'!A6,"")</f>
        <v/>
      </c>
      <c r="V8" s="99" t="str">
        <f>IF('Skill Index'!AY6&lt;6,'Skill Index'!A6,"")</f>
        <v>Arun Kumar</v>
      </c>
    </row>
    <row r="9" spans="1:22" x14ac:dyDescent="0.35">
      <c r="A9" s="98" t="str">
        <f>IF('Skill Index'!AW7=10,'Skill Index'!A7,"")</f>
        <v/>
      </c>
      <c r="B9" s="1" t="str">
        <f>IF('Skill Index'!AW7=9,'Skill Index'!A7,"")</f>
        <v>Ashraya H D</v>
      </c>
      <c r="C9" s="1" t="str">
        <f>IF('Skill Index'!AW7=8,'Skill Index'!A7,"")</f>
        <v/>
      </c>
      <c r="D9" s="1" t="str">
        <f>IF('Skill Index'!AW7=7,'Skill Index'!A7,"")</f>
        <v/>
      </c>
      <c r="E9" s="1" t="str">
        <f>IF('Skill Index'!AW7=6,'Skill Index'!A7,"")</f>
        <v/>
      </c>
      <c r="F9" s="99" t="str">
        <f>IF('Skill Index'!AW7&lt;6,'Skill Index'!A7,"")</f>
        <v/>
      </c>
      <c r="I9" s="98" t="str">
        <f>IF('Skill Index'!AX7=10,'Skill Index'!A7,"")</f>
        <v/>
      </c>
      <c r="J9" s="1" t="str">
        <f>IF('Skill Index'!AX7=9,'Skill Index'!A7,"")</f>
        <v/>
      </c>
      <c r="K9" s="1" t="str">
        <f>IF('Skill Index'!AX7=8,'Skill Index'!A7,"")</f>
        <v>Ashraya H D</v>
      </c>
      <c r="L9" s="1" t="str">
        <f>IF('Skill Index'!AX7=7,'Skill Index'!A7,"")</f>
        <v/>
      </c>
      <c r="M9" s="1" t="str">
        <f>IF('Skill Index'!AX7=6,'Skill Index'!A7,"")</f>
        <v/>
      </c>
      <c r="N9" s="99" t="str">
        <f>IF('Skill Index'!AX7&lt;6,'Skill Index'!A7,"")</f>
        <v/>
      </c>
      <c r="Q9" s="98" t="str">
        <f>IF('Skill Index'!AY7=10,'Skill Index'!A7,"")</f>
        <v/>
      </c>
      <c r="R9" s="1" t="str">
        <f>IF('Skill Index'!AY7=9,'Skill Index'!A7,"")</f>
        <v>Ashraya H D</v>
      </c>
      <c r="S9" s="1" t="str">
        <f>IF('Skill Index'!AY7=8,'Skill Index'!A7,"")</f>
        <v/>
      </c>
      <c r="T9" s="1" t="str">
        <f>IF('Skill Index'!AY7=7,'Skill Index'!A7,"")</f>
        <v/>
      </c>
      <c r="U9" s="1" t="str">
        <f>IF('Skill Index'!AY7=6,'Skill Index'!A7,"")</f>
        <v/>
      </c>
      <c r="V9" s="99" t="str">
        <f>IF('Skill Index'!AY7&lt;6,'Skill Index'!A7,"")</f>
        <v/>
      </c>
    </row>
    <row r="10" spans="1:22" x14ac:dyDescent="0.35">
      <c r="A10" s="98" t="str">
        <f>IF('Skill Index'!AW8=10,'Skill Index'!A8,"")</f>
        <v/>
      </c>
      <c r="B10" s="1" t="str">
        <f>IF('Skill Index'!AW8=9,'Skill Index'!A8,"")</f>
        <v/>
      </c>
      <c r="C10" s="1" t="str">
        <f>IF('Skill Index'!AW8=8,'Skill Index'!A8,"")</f>
        <v/>
      </c>
      <c r="D10" s="1" t="str">
        <f>IF('Skill Index'!AW8=7,'Skill Index'!A8,"")</f>
        <v/>
      </c>
      <c r="E10" s="1" t="str">
        <f>IF('Skill Index'!AW8=6,'Skill Index'!A8,"")</f>
        <v/>
      </c>
      <c r="F10" s="99" t="str">
        <f>IF('Skill Index'!AW8&lt;6,'Skill Index'!A8,"")</f>
        <v>Jeet Doshi</v>
      </c>
      <c r="I10" s="98" t="str">
        <f>IF('Skill Index'!AX8=10,'Skill Index'!A8,"")</f>
        <v/>
      </c>
      <c r="J10" s="1" t="str">
        <f>IF('Skill Index'!AX8=9,'Skill Index'!A8,"")</f>
        <v/>
      </c>
      <c r="K10" s="1" t="str">
        <f>IF('Skill Index'!AX8=8,'Skill Index'!A8,"")</f>
        <v/>
      </c>
      <c r="L10" s="1" t="str">
        <f>IF('Skill Index'!AX8=7,'Skill Index'!A8,"")</f>
        <v/>
      </c>
      <c r="M10" s="1" t="str">
        <f>IF('Skill Index'!AX8=6,'Skill Index'!A8,"")</f>
        <v>Jeet Doshi</v>
      </c>
      <c r="N10" s="99" t="str">
        <f>IF('Skill Index'!AX8&lt;6,'Skill Index'!A8,"")</f>
        <v/>
      </c>
      <c r="Q10" s="98" t="str">
        <f>IF('Skill Index'!AY8=10,'Skill Index'!A8,"")</f>
        <v/>
      </c>
      <c r="R10" s="1" t="str">
        <f>IF('Skill Index'!AY8=9,'Skill Index'!A8,"")</f>
        <v/>
      </c>
      <c r="S10" s="1" t="str">
        <f>IF('Skill Index'!AY8=8,'Skill Index'!A8,"")</f>
        <v/>
      </c>
      <c r="T10" s="1" t="str">
        <f>IF('Skill Index'!AY8=7,'Skill Index'!A8,"")</f>
        <v>Jeet Doshi</v>
      </c>
      <c r="U10" s="1" t="str">
        <f>IF('Skill Index'!AY8=6,'Skill Index'!A8,"")</f>
        <v/>
      </c>
      <c r="V10" s="99" t="str">
        <f>IF('Skill Index'!AY8&lt;6,'Skill Index'!A8,"")</f>
        <v/>
      </c>
    </row>
    <row r="11" spans="1:22" x14ac:dyDescent="0.35">
      <c r="A11" s="98" t="str">
        <f>IF('Skill Index'!AW9=10,'Skill Index'!A9,"")</f>
        <v/>
      </c>
      <c r="B11" s="1" t="str">
        <f>IF('Skill Index'!AW9=9,'Skill Index'!A9,"")</f>
        <v/>
      </c>
      <c r="C11" s="1" t="str">
        <f>IF('Skill Index'!AW9=8,'Skill Index'!A9,"")</f>
        <v/>
      </c>
      <c r="D11" s="1" t="str">
        <f>IF('Skill Index'!AW9=7,'Skill Index'!A9,"")</f>
        <v/>
      </c>
      <c r="E11" s="1" t="str">
        <f>IF('Skill Index'!AW9=6,'Skill Index'!A9,"")</f>
        <v/>
      </c>
      <c r="F11" s="99" t="str">
        <f>IF('Skill Index'!AW9&lt;6,'Skill Index'!A9,"")</f>
        <v>Mahesh Kumar</v>
      </c>
      <c r="I11" s="98" t="str">
        <f>IF('Skill Index'!AX9=10,'Skill Index'!A9,"")</f>
        <v/>
      </c>
      <c r="J11" s="1" t="str">
        <f>IF('Skill Index'!AX9=9,'Skill Index'!A9,"")</f>
        <v/>
      </c>
      <c r="K11" s="1" t="str">
        <f>IF('Skill Index'!AX9=8,'Skill Index'!A9,"")</f>
        <v/>
      </c>
      <c r="L11" s="1" t="str">
        <f>IF('Skill Index'!AX9=7,'Skill Index'!A9,"")</f>
        <v/>
      </c>
      <c r="M11" s="1" t="str">
        <f>IF('Skill Index'!AX9=6,'Skill Index'!A9,"")</f>
        <v/>
      </c>
      <c r="N11" s="99" t="str">
        <f>IF('Skill Index'!AX9&lt;6,'Skill Index'!A9,"")</f>
        <v>Mahesh Kumar</v>
      </c>
      <c r="Q11" s="98" t="str">
        <f>IF('Skill Index'!AY9=10,'Skill Index'!A9,"")</f>
        <v/>
      </c>
      <c r="R11" s="1" t="str">
        <f>IF('Skill Index'!AY9=9,'Skill Index'!A9,"")</f>
        <v/>
      </c>
      <c r="S11" s="1" t="str">
        <f>IF('Skill Index'!AY9=8,'Skill Index'!A9,"")</f>
        <v/>
      </c>
      <c r="T11" s="1" t="str">
        <f>IF('Skill Index'!AY9=7,'Skill Index'!A9,"")</f>
        <v/>
      </c>
      <c r="U11" s="1" t="str">
        <f>IF('Skill Index'!AY9=6,'Skill Index'!A9,"")</f>
        <v>Mahesh Kumar</v>
      </c>
      <c r="V11" s="99" t="str">
        <f>IF('Skill Index'!AY9&lt;6,'Skill Index'!A9,"")</f>
        <v/>
      </c>
    </row>
    <row r="12" spans="1:22" x14ac:dyDescent="0.35">
      <c r="A12" s="98" t="str">
        <f>IF('Skill Index'!AW10=10,'Skill Index'!A10,"")</f>
        <v/>
      </c>
      <c r="B12" s="1" t="str">
        <f>IF('Skill Index'!AW10=9,'Skill Index'!A10,"")</f>
        <v/>
      </c>
      <c r="C12" s="1" t="str">
        <f>IF('Skill Index'!AW10=8,'Skill Index'!A10,"")</f>
        <v>Nilekha Repaka</v>
      </c>
      <c r="D12" s="1" t="str">
        <f>IF('Skill Index'!AW10=7,'Skill Index'!A10,"")</f>
        <v/>
      </c>
      <c r="E12" s="1" t="str">
        <f>IF('Skill Index'!AW10=6,'Skill Index'!A10,"")</f>
        <v/>
      </c>
      <c r="F12" s="99" t="str">
        <f>IF('Skill Index'!AW10&lt;6,'Skill Index'!A10,"")</f>
        <v/>
      </c>
      <c r="I12" s="98" t="str">
        <f>IF('Skill Index'!AX10=10,'Skill Index'!A10,"")</f>
        <v/>
      </c>
      <c r="J12" s="1" t="str">
        <f>IF('Skill Index'!AX10=9,'Skill Index'!A10,"")</f>
        <v/>
      </c>
      <c r="K12" s="1" t="str">
        <f>IF('Skill Index'!AX10=8,'Skill Index'!A10,"")</f>
        <v/>
      </c>
      <c r="L12" s="1" t="str">
        <f>IF('Skill Index'!AX10=7,'Skill Index'!A10,"")</f>
        <v>Nilekha Repaka</v>
      </c>
      <c r="M12" s="1" t="str">
        <f>IF('Skill Index'!AX10=6,'Skill Index'!A10,"")</f>
        <v/>
      </c>
      <c r="N12" s="99" t="str">
        <f>IF('Skill Index'!AX10&lt;6,'Skill Index'!A10,"")</f>
        <v/>
      </c>
      <c r="Q12" s="98" t="str">
        <f>IF('Skill Index'!AY10=10,'Skill Index'!A10,"")</f>
        <v/>
      </c>
      <c r="R12" s="1" t="str">
        <f>IF('Skill Index'!AY10=9,'Skill Index'!A10,"")</f>
        <v>Nilekha Repaka</v>
      </c>
      <c r="S12" s="1" t="str">
        <f>IF('Skill Index'!AY10=8,'Skill Index'!A10,"")</f>
        <v/>
      </c>
      <c r="T12" s="1" t="str">
        <f>IF('Skill Index'!AY10=7,'Skill Index'!A10,"")</f>
        <v/>
      </c>
      <c r="U12" s="1" t="str">
        <f>IF('Skill Index'!AY10=6,'Skill Index'!A10,"")</f>
        <v/>
      </c>
      <c r="V12" s="99" t="str">
        <f>IF('Skill Index'!AY10&lt;6,'Skill Index'!A10,"")</f>
        <v/>
      </c>
    </row>
    <row r="13" spans="1:22" x14ac:dyDescent="0.35">
      <c r="A13" s="98" t="str">
        <f>IF('Skill Index'!AW11=10,'Skill Index'!A11,"")</f>
        <v/>
      </c>
      <c r="B13" s="1" t="str">
        <f>IF('Skill Index'!AW11=9,'Skill Index'!A11,"")</f>
        <v/>
      </c>
      <c r="C13" s="1" t="str">
        <f>IF('Skill Index'!AW11=8,'Skill Index'!A11,"")</f>
        <v/>
      </c>
      <c r="D13" s="1" t="str">
        <f>IF('Skill Index'!AW11=7,'Skill Index'!A11,"")</f>
        <v/>
      </c>
      <c r="E13" s="1" t="str">
        <f>IF('Skill Index'!AW11=6,'Skill Index'!A11,"")</f>
        <v/>
      </c>
      <c r="F13" s="99" t="str">
        <f>IF('Skill Index'!AW11&lt;6,'Skill Index'!A11,"")</f>
        <v>Pawan Rathore</v>
      </c>
      <c r="I13" s="98" t="str">
        <f>IF('Skill Index'!AX11=10,'Skill Index'!A11,"")</f>
        <v/>
      </c>
      <c r="J13" s="1" t="str">
        <f>IF('Skill Index'!AX11=9,'Skill Index'!A11,"")</f>
        <v/>
      </c>
      <c r="K13" s="1" t="str">
        <f>IF('Skill Index'!AX11=8,'Skill Index'!A11,"")</f>
        <v/>
      </c>
      <c r="L13" s="1" t="str">
        <f>IF('Skill Index'!AX11=7,'Skill Index'!A11,"")</f>
        <v/>
      </c>
      <c r="M13" s="1" t="str">
        <f>IF('Skill Index'!AX11=6,'Skill Index'!A11,"")</f>
        <v>Pawan Rathore</v>
      </c>
      <c r="N13" s="99" t="str">
        <f>IF('Skill Index'!AX11&lt;6,'Skill Index'!A11,"")</f>
        <v/>
      </c>
      <c r="Q13" s="98" t="str">
        <f>IF('Skill Index'!AY11=10,'Skill Index'!A11,"")</f>
        <v/>
      </c>
      <c r="R13" s="1" t="str">
        <f>IF('Skill Index'!AY11=9,'Skill Index'!A11,"")</f>
        <v/>
      </c>
      <c r="S13" s="1" t="str">
        <f>IF('Skill Index'!AY11=8,'Skill Index'!A11,"")</f>
        <v/>
      </c>
      <c r="T13" s="1" t="str">
        <f>IF('Skill Index'!AY11=7,'Skill Index'!A11,"")</f>
        <v/>
      </c>
      <c r="U13" s="1" t="str">
        <f>IF('Skill Index'!AY11=6,'Skill Index'!A11,"")</f>
        <v/>
      </c>
      <c r="V13" s="99" t="str">
        <f>IF('Skill Index'!AY11&lt;6,'Skill Index'!A11,"")</f>
        <v>Pawan Rathore</v>
      </c>
    </row>
    <row r="14" spans="1:22" x14ac:dyDescent="0.35">
      <c r="A14" s="98" t="str">
        <f>IF('Skill Index'!AW12=10,'Skill Index'!A12,"")</f>
        <v/>
      </c>
      <c r="B14" s="1" t="str">
        <f>IF('Skill Index'!AW12=9,'Skill Index'!A12,"")</f>
        <v/>
      </c>
      <c r="C14" s="1" t="str">
        <f>IF('Skill Index'!AW12=8,'Skill Index'!A12,"")</f>
        <v>Priyesh Tiwari</v>
      </c>
      <c r="D14" s="1" t="str">
        <f>IF('Skill Index'!AW12=7,'Skill Index'!A12,"")</f>
        <v/>
      </c>
      <c r="E14" s="1" t="str">
        <f>IF('Skill Index'!AW12=6,'Skill Index'!A12,"")</f>
        <v/>
      </c>
      <c r="F14" s="99" t="str">
        <f>IF('Skill Index'!AW12&lt;6,'Skill Index'!A12,"")</f>
        <v/>
      </c>
      <c r="I14" s="98" t="str">
        <f>IF('Skill Index'!AX12=10,'Skill Index'!A12,"")</f>
        <v/>
      </c>
      <c r="J14" s="1" t="str">
        <f>IF('Skill Index'!AX12=9,'Skill Index'!A12,"")</f>
        <v/>
      </c>
      <c r="K14" s="1" t="str">
        <f>IF('Skill Index'!AX12=8,'Skill Index'!A12,"")</f>
        <v/>
      </c>
      <c r="L14" s="1" t="str">
        <f>IF('Skill Index'!AX12=7,'Skill Index'!A12,"")</f>
        <v>Priyesh Tiwari</v>
      </c>
      <c r="M14" s="1" t="str">
        <f>IF('Skill Index'!AX12=6,'Skill Index'!A12,"")</f>
        <v/>
      </c>
      <c r="N14" s="99" t="str">
        <f>IF('Skill Index'!AX12&lt;6,'Skill Index'!A12,"")</f>
        <v/>
      </c>
      <c r="Q14" s="98" t="str">
        <f>IF('Skill Index'!AY12=10,'Skill Index'!A12,"")</f>
        <v/>
      </c>
      <c r="R14" s="1" t="str">
        <f>IF('Skill Index'!AY12=9,'Skill Index'!A12,"")</f>
        <v>Priyesh Tiwari</v>
      </c>
      <c r="S14" s="1" t="str">
        <f>IF('Skill Index'!AY12=8,'Skill Index'!A12,"")</f>
        <v/>
      </c>
      <c r="T14" s="1" t="str">
        <f>IF('Skill Index'!AY12=7,'Skill Index'!A12,"")</f>
        <v/>
      </c>
      <c r="U14" s="1" t="str">
        <f>IF('Skill Index'!AY12=6,'Skill Index'!A12,"")</f>
        <v/>
      </c>
      <c r="V14" s="99" t="str">
        <f>IF('Skill Index'!AY12&lt;6,'Skill Index'!A12,"")</f>
        <v/>
      </c>
    </row>
    <row r="15" spans="1:22" x14ac:dyDescent="0.35">
      <c r="A15" s="98" t="str">
        <f>IF('Skill Index'!AW13=10,'Skill Index'!A13,"")</f>
        <v/>
      </c>
      <c r="B15" s="1" t="str">
        <f>IF('Skill Index'!AW13=9,'Skill Index'!A13,"")</f>
        <v/>
      </c>
      <c r="C15" s="1" t="str">
        <f>IF('Skill Index'!AW13=8,'Skill Index'!A13,"")</f>
        <v/>
      </c>
      <c r="D15" s="1" t="str">
        <f>IF('Skill Index'!AW13=7,'Skill Index'!A13,"")</f>
        <v/>
      </c>
      <c r="E15" s="1" t="str">
        <f>IF('Skill Index'!AW13=6,'Skill Index'!A13,"")</f>
        <v/>
      </c>
      <c r="F15" s="99" t="str">
        <f>IF('Skill Index'!AW13&lt;6,'Skill Index'!A13,"")</f>
        <v>Rahul Kumar</v>
      </c>
      <c r="I15" s="98" t="str">
        <f>IF('Skill Index'!AX13=10,'Skill Index'!A13,"")</f>
        <v/>
      </c>
      <c r="J15" s="1" t="str">
        <f>IF('Skill Index'!AX13=9,'Skill Index'!A13,"")</f>
        <v/>
      </c>
      <c r="K15" s="1" t="str">
        <f>IF('Skill Index'!AX13=8,'Skill Index'!A13,"")</f>
        <v/>
      </c>
      <c r="L15" s="1" t="str">
        <f>IF('Skill Index'!AX13=7,'Skill Index'!A13,"")</f>
        <v>Rahul Kumar</v>
      </c>
      <c r="M15" s="1" t="str">
        <f>IF('Skill Index'!AX13=6,'Skill Index'!A13,"")</f>
        <v/>
      </c>
      <c r="N15" s="99" t="str">
        <f>IF('Skill Index'!AX13&lt;6,'Skill Index'!A13,"")</f>
        <v/>
      </c>
      <c r="Q15" s="98" t="str">
        <f>IF('Skill Index'!AY13=10,'Skill Index'!A13,"")</f>
        <v/>
      </c>
      <c r="R15" s="1" t="str">
        <f>IF('Skill Index'!AY13=9,'Skill Index'!A13,"")</f>
        <v/>
      </c>
      <c r="S15" s="1" t="str">
        <f>IF('Skill Index'!AY13=8,'Skill Index'!A13,"")</f>
        <v/>
      </c>
      <c r="T15" s="1" t="str">
        <f>IF('Skill Index'!AY13=7,'Skill Index'!A13,"")</f>
        <v/>
      </c>
      <c r="U15" s="1" t="str">
        <f>IF('Skill Index'!AY13=6,'Skill Index'!A13,"")</f>
        <v/>
      </c>
      <c r="V15" s="99" t="str">
        <f>IF('Skill Index'!AY13&lt;6,'Skill Index'!A13,"")</f>
        <v>Rahul Kumar</v>
      </c>
    </row>
    <row r="16" spans="1:22" x14ac:dyDescent="0.35">
      <c r="A16" s="98" t="str">
        <f>IF('Skill Index'!AW14=10,'Skill Index'!A14,"")</f>
        <v/>
      </c>
      <c r="B16" s="1" t="str">
        <f>IF('Skill Index'!AW14=9,'Skill Index'!A14,"")</f>
        <v/>
      </c>
      <c r="C16" s="1" t="str">
        <f>IF('Skill Index'!AW14=8,'Skill Index'!A14,"")</f>
        <v>Ramkrishna Kadiya</v>
      </c>
      <c r="D16" s="1" t="str">
        <f>IF('Skill Index'!AW14=7,'Skill Index'!A14,"")</f>
        <v/>
      </c>
      <c r="E16" s="1" t="str">
        <f>IF('Skill Index'!AW14=6,'Skill Index'!A14,"")</f>
        <v/>
      </c>
      <c r="F16" s="99" t="str">
        <f>IF('Skill Index'!AW14&lt;6,'Skill Index'!A14,"")</f>
        <v/>
      </c>
      <c r="I16" s="98" t="str">
        <f>IF('Skill Index'!AX14=10,'Skill Index'!A14,"")</f>
        <v/>
      </c>
      <c r="J16" s="1" t="str">
        <f>IF('Skill Index'!AX14=9,'Skill Index'!A14,"")</f>
        <v/>
      </c>
      <c r="K16" s="1" t="str">
        <f>IF('Skill Index'!AX14=8,'Skill Index'!A14,"")</f>
        <v/>
      </c>
      <c r="L16" s="1" t="str">
        <f>IF('Skill Index'!AX14=7,'Skill Index'!A14,"")</f>
        <v>Ramkrishna Kadiya</v>
      </c>
      <c r="M16" s="1" t="str">
        <f>IF('Skill Index'!AX14=6,'Skill Index'!A14,"")</f>
        <v/>
      </c>
      <c r="N16" s="99" t="str">
        <f>IF('Skill Index'!AX14&lt;6,'Skill Index'!A14,"")</f>
        <v/>
      </c>
      <c r="Q16" s="98" t="str">
        <f>IF('Skill Index'!AY14=10,'Skill Index'!A14,"")</f>
        <v/>
      </c>
      <c r="R16" s="1" t="str">
        <f>IF('Skill Index'!AY14=9,'Skill Index'!A14,"")</f>
        <v/>
      </c>
      <c r="S16" s="1" t="str">
        <f>IF('Skill Index'!AY14=8,'Skill Index'!A14,"")</f>
        <v>Ramkrishna Kadiya</v>
      </c>
      <c r="T16" s="1" t="str">
        <f>IF('Skill Index'!AY14=7,'Skill Index'!A14,"")</f>
        <v/>
      </c>
      <c r="U16" s="1" t="str">
        <f>IF('Skill Index'!AY14=6,'Skill Index'!A14,"")</f>
        <v/>
      </c>
      <c r="V16" s="99" t="str">
        <f>IF('Skill Index'!AY14&lt;6,'Skill Index'!A14,"")</f>
        <v/>
      </c>
    </row>
    <row r="17" spans="1:22" x14ac:dyDescent="0.35">
      <c r="A17" s="98" t="str">
        <f>IF('Skill Index'!AW15=10,'Skill Index'!A15,"")</f>
        <v/>
      </c>
      <c r="B17" s="1" t="str">
        <f>IF('Skill Index'!AW15=9,'Skill Index'!A15,"")</f>
        <v/>
      </c>
      <c r="C17" s="1" t="str">
        <f>IF('Skill Index'!AW15=8,'Skill Index'!A15,"")</f>
        <v/>
      </c>
      <c r="D17" s="1" t="str">
        <f>IF('Skill Index'!AW15=7,'Skill Index'!A15,"")</f>
        <v/>
      </c>
      <c r="E17" s="1" t="str">
        <f>IF('Skill Index'!AW15=6,'Skill Index'!A15,"")</f>
        <v/>
      </c>
      <c r="F17" s="99" t="str">
        <f>IF('Skill Index'!AW15&lt;6,'Skill Index'!A15,"")</f>
        <v>Revanth Anguluri</v>
      </c>
      <c r="I17" s="98" t="str">
        <f>IF('Skill Index'!AX15=10,'Skill Index'!A15,"")</f>
        <v/>
      </c>
      <c r="J17" s="1" t="str">
        <f>IF('Skill Index'!AX15=9,'Skill Index'!A15,"")</f>
        <v/>
      </c>
      <c r="K17" s="1" t="str">
        <f>IF('Skill Index'!AX15=8,'Skill Index'!A15,"")</f>
        <v/>
      </c>
      <c r="L17" s="1" t="str">
        <f>IF('Skill Index'!AX15=7,'Skill Index'!A15,"")</f>
        <v/>
      </c>
      <c r="M17" s="1" t="str">
        <f>IF('Skill Index'!AX15=6,'Skill Index'!A15,"")</f>
        <v/>
      </c>
      <c r="N17" s="99" t="str">
        <f>IF('Skill Index'!AX15&lt;6,'Skill Index'!A15,"")</f>
        <v>Revanth Anguluri</v>
      </c>
      <c r="Q17" s="98" t="str">
        <f>IF('Skill Index'!AY15=10,'Skill Index'!A15,"")</f>
        <v/>
      </c>
      <c r="R17" s="1" t="str">
        <f>IF('Skill Index'!AY15=9,'Skill Index'!A15,"")</f>
        <v/>
      </c>
      <c r="S17" s="1" t="str">
        <f>IF('Skill Index'!AY15=8,'Skill Index'!A15,"")</f>
        <v/>
      </c>
      <c r="T17" s="1" t="str">
        <f>IF('Skill Index'!AY15=7,'Skill Index'!A15,"")</f>
        <v/>
      </c>
      <c r="U17" s="1" t="str">
        <f>IF('Skill Index'!AY15=6,'Skill Index'!A15,"")</f>
        <v/>
      </c>
      <c r="V17" s="99" t="str">
        <f>IF('Skill Index'!AY15&lt;6,'Skill Index'!A15,"")</f>
        <v>Revanth Anguluri</v>
      </c>
    </row>
    <row r="18" spans="1:22" x14ac:dyDescent="0.35">
      <c r="A18" s="98" t="str">
        <f>IF('Skill Index'!AW16=10,'Skill Index'!A16,"")</f>
        <v/>
      </c>
      <c r="B18" s="1" t="str">
        <f>IF('Skill Index'!AW16=9,'Skill Index'!A16,"")</f>
        <v/>
      </c>
      <c r="C18" s="1" t="str">
        <f>IF('Skill Index'!AW16=8,'Skill Index'!A16,"")</f>
        <v/>
      </c>
      <c r="D18" s="1" t="str">
        <f>IF('Skill Index'!AW16=7,'Skill Index'!A16,"")</f>
        <v/>
      </c>
      <c r="E18" s="1" t="str">
        <f>IF('Skill Index'!AW16=6,'Skill Index'!A16,"")</f>
        <v/>
      </c>
      <c r="F18" s="99" t="str">
        <f>IF('Skill Index'!AW16&lt;6,'Skill Index'!A16,"")</f>
        <v>Sagar Sable</v>
      </c>
      <c r="I18" s="98" t="str">
        <f>IF('Skill Index'!AX16=10,'Skill Index'!A16,"")</f>
        <v/>
      </c>
      <c r="J18" s="1" t="str">
        <f>IF('Skill Index'!AX16=9,'Skill Index'!A16,"")</f>
        <v/>
      </c>
      <c r="K18" s="1" t="str">
        <f>IF('Skill Index'!AX16=8,'Skill Index'!A16,"")</f>
        <v/>
      </c>
      <c r="L18" s="1" t="str">
        <f>IF('Skill Index'!AX16=7,'Skill Index'!A16,"")</f>
        <v/>
      </c>
      <c r="M18" s="1" t="str">
        <f>IF('Skill Index'!AX16=6,'Skill Index'!A16,"")</f>
        <v/>
      </c>
      <c r="N18" s="99" t="str">
        <f>IF('Skill Index'!AX16&lt;6,'Skill Index'!A16,"")</f>
        <v>Sagar Sable</v>
      </c>
      <c r="Q18" s="98" t="str">
        <f>IF('Skill Index'!AY16=10,'Skill Index'!A16,"")</f>
        <v/>
      </c>
      <c r="R18" s="1" t="str">
        <f>IF('Skill Index'!AY16=9,'Skill Index'!A16,"")</f>
        <v/>
      </c>
      <c r="S18" s="1" t="str">
        <f>IF('Skill Index'!AY16=8,'Skill Index'!A16,"")</f>
        <v/>
      </c>
      <c r="T18" s="1" t="str">
        <f>IF('Skill Index'!AY16=7,'Skill Index'!A16,"")</f>
        <v/>
      </c>
      <c r="U18" s="1" t="str">
        <f>IF('Skill Index'!AY16=6,'Skill Index'!A16,"")</f>
        <v>Sagar Sable</v>
      </c>
      <c r="V18" s="99" t="str">
        <f>IF('Skill Index'!AY16&lt;6,'Skill Index'!A16,"")</f>
        <v/>
      </c>
    </row>
    <row r="19" spans="1:22" x14ac:dyDescent="0.35">
      <c r="A19" s="98" t="str">
        <f>IF('Skill Index'!AW17=10,'Skill Index'!A17,"")</f>
        <v/>
      </c>
      <c r="B19" s="1" t="str">
        <f>IF('Skill Index'!AW17=9,'Skill Index'!A17,"")</f>
        <v/>
      </c>
      <c r="C19" s="1" t="str">
        <f>IF('Skill Index'!AW17=8,'Skill Index'!A17,"")</f>
        <v/>
      </c>
      <c r="D19" s="1" t="str">
        <f>IF('Skill Index'!AW17=7,'Skill Index'!A17,"")</f>
        <v/>
      </c>
      <c r="E19" s="1" t="str">
        <f>IF('Skill Index'!AW17=6,'Skill Index'!A17,"")</f>
        <v/>
      </c>
      <c r="F19" s="99" t="str">
        <f>IF('Skill Index'!AW17&lt;6,'Skill Index'!A17,"")</f>
        <v>Shreya Ramprakash</v>
      </c>
      <c r="I19" s="98" t="str">
        <f>IF('Skill Index'!AX17=10,'Skill Index'!A17,"")</f>
        <v/>
      </c>
      <c r="J19" s="1" t="str">
        <f>IF('Skill Index'!AX17=9,'Skill Index'!A17,"")</f>
        <v/>
      </c>
      <c r="K19" s="1" t="str">
        <f>IF('Skill Index'!AX17=8,'Skill Index'!A17,"")</f>
        <v/>
      </c>
      <c r="L19" s="1" t="str">
        <f>IF('Skill Index'!AX17=7,'Skill Index'!A17,"")</f>
        <v/>
      </c>
      <c r="M19" s="1" t="str">
        <f>IF('Skill Index'!AX17=6,'Skill Index'!A17,"")</f>
        <v/>
      </c>
      <c r="N19" s="99" t="str">
        <f>IF('Skill Index'!AX17&lt;6,'Skill Index'!A17,"")</f>
        <v>Shreya Ramprakash</v>
      </c>
      <c r="Q19" s="98" t="str">
        <f>IF('Skill Index'!AY17=10,'Skill Index'!A17,"")</f>
        <v/>
      </c>
      <c r="R19" s="1" t="str">
        <f>IF('Skill Index'!AY17=9,'Skill Index'!A17,"")</f>
        <v/>
      </c>
      <c r="S19" s="1" t="str">
        <f>IF('Skill Index'!AY17=8,'Skill Index'!A17,"")</f>
        <v/>
      </c>
      <c r="T19" s="1" t="str">
        <f>IF('Skill Index'!AY17=7,'Skill Index'!A17,"")</f>
        <v/>
      </c>
      <c r="U19" s="1" t="str">
        <f>IF('Skill Index'!AY17=6,'Skill Index'!A17,"")</f>
        <v/>
      </c>
      <c r="V19" s="99" t="str">
        <f>IF('Skill Index'!AY17&lt;6,'Skill Index'!A17,"")</f>
        <v>Shreya Ramprakash</v>
      </c>
    </row>
    <row r="20" spans="1:22" x14ac:dyDescent="0.35">
      <c r="A20" s="98" t="str">
        <f>IF('Skill Index'!AW18=10,'Skill Index'!A18,"")</f>
        <v/>
      </c>
      <c r="B20" s="1" t="str">
        <f>IF('Skill Index'!AW18=9,'Skill Index'!A18,"")</f>
        <v/>
      </c>
      <c r="C20" s="1" t="str">
        <f>IF('Skill Index'!AW18=8,'Skill Index'!A18,"")</f>
        <v>Shreyas Risodkar</v>
      </c>
      <c r="D20" s="1" t="str">
        <f>IF('Skill Index'!AW18=7,'Skill Index'!A18,"")</f>
        <v/>
      </c>
      <c r="E20" s="1" t="str">
        <f>IF('Skill Index'!AW18=6,'Skill Index'!A18,"")</f>
        <v/>
      </c>
      <c r="F20" s="99" t="str">
        <f>IF('Skill Index'!AW18&lt;6,'Skill Index'!A18,"")</f>
        <v/>
      </c>
      <c r="I20" s="98" t="str">
        <f>IF('Skill Index'!AX18=10,'Skill Index'!A18,"")</f>
        <v/>
      </c>
      <c r="J20" s="1" t="str">
        <f>IF('Skill Index'!AX18=9,'Skill Index'!A18,"")</f>
        <v/>
      </c>
      <c r="K20" s="1" t="str">
        <f>IF('Skill Index'!AX18=8,'Skill Index'!A18,"")</f>
        <v>Shreyas Risodkar</v>
      </c>
      <c r="L20" s="1" t="str">
        <f>IF('Skill Index'!AX18=7,'Skill Index'!A18,"")</f>
        <v/>
      </c>
      <c r="M20" s="1" t="str">
        <f>IF('Skill Index'!AX18=6,'Skill Index'!A18,"")</f>
        <v/>
      </c>
      <c r="N20" s="99" t="str">
        <f>IF('Skill Index'!AX18&lt;6,'Skill Index'!A18,"")</f>
        <v/>
      </c>
      <c r="Q20" s="98" t="str">
        <f>IF('Skill Index'!AY18=10,'Skill Index'!A18,"")</f>
        <v/>
      </c>
      <c r="R20" s="1" t="str">
        <f>IF('Skill Index'!AY18=9,'Skill Index'!A18,"")</f>
        <v/>
      </c>
      <c r="S20" s="1" t="str">
        <f>IF('Skill Index'!AY18=8,'Skill Index'!A18,"")</f>
        <v/>
      </c>
      <c r="T20" s="1" t="str">
        <f>IF('Skill Index'!AY18=7,'Skill Index'!A18,"")</f>
        <v>Shreyas Risodkar</v>
      </c>
      <c r="U20" s="1" t="str">
        <f>IF('Skill Index'!AY18=6,'Skill Index'!A18,"")</f>
        <v/>
      </c>
      <c r="V20" s="99" t="str">
        <f>IF('Skill Index'!AY18&lt;6,'Skill Index'!A18,"")</f>
        <v/>
      </c>
    </row>
    <row r="21" spans="1:22" x14ac:dyDescent="0.35">
      <c r="A21" s="98" t="str">
        <f>IF('Skill Index'!AW19=10,'Skill Index'!A19,"")</f>
        <v/>
      </c>
      <c r="B21" s="1" t="str">
        <f>IF('Skill Index'!AW19=9,'Skill Index'!A19,"")</f>
        <v/>
      </c>
      <c r="C21" s="1" t="str">
        <f>IF('Skill Index'!AW19=8,'Skill Index'!A19,"")</f>
        <v/>
      </c>
      <c r="D21" s="1" t="str">
        <f>IF('Skill Index'!AW19=7,'Skill Index'!A19,"")</f>
        <v>Srikirti Raj</v>
      </c>
      <c r="E21" s="1" t="str">
        <f>IF('Skill Index'!AW19=6,'Skill Index'!A19,"")</f>
        <v/>
      </c>
      <c r="F21" s="99" t="str">
        <f>IF('Skill Index'!AW19&lt;6,'Skill Index'!A19,"")</f>
        <v/>
      </c>
      <c r="I21" s="98" t="str">
        <f>IF('Skill Index'!AX19=10,'Skill Index'!A19,"")</f>
        <v/>
      </c>
      <c r="J21" s="1" t="str">
        <f>IF('Skill Index'!AX19=9,'Skill Index'!A19,"")</f>
        <v/>
      </c>
      <c r="K21" s="1" t="str">
        <f>IF('Skill Index'!AX19=8,'Skill Index'!A19,"")</f>
        <v/>
      </c>
      <c r="L21" s="1" t="str">
        <f>IF('Skill Index'!AX19=7,'Skill Index'!A19,"")</f>
        <v>Srikirti Raj</v>
      </c>
      <c r="M21" s="1" t="str">
        <f>IF('Skill Index'!AX19=6,'Skill Index'!A19,"")</f>
        <v/>
      </c>
      <c r="N21" s="99" t="str">
        <f>IF('Skill Index'!AX19&lt;6,'Skill Index'!A19,"")</f>
        <v/>
      </c>
      <c r="Q21" s="98" t="str">
        <f>IF('Skill Index'!AY19=10,'Skill Index'!A19,"")</f>
        <v/>
      </c>
      <c r="R21" s="1" t="str">
        <f>IF('Skill Index'!AY19=9,'Skill Index'!A19,"")</f>
        <v/>
      </c>
      <c r="S21" s="1" t="str">
        <f>IF('Skill Index'!AY19=8,'Skill Index'!A19,"")</f>
        <v/>
      </c>
      <c r="T21" s="1" t="str">
        <f>IF('Skill Index'!AY19=7,'Skill Index'!A19,"")</f>
        <v>Srikirti Raj</v>
      </c>
      <c r="U21" s="1" t="str">
        <f>IF('Skill Index'!AY19=6,'Skill Index'!A19,"")</f>
        <v/>
      </c>
      <c r="V21" s="99" t="str">
        <f>IF('Skill Index'!AY19&lt;6,'Skill Index'!A19,"")</f>
        <v/>
      </c>
    </row>
    <row r="22" spans="1:22" x14ac:dyDescent="0.35">
      <c r="A22" s="98" t="str">
        <f>IF('Skill Index'!AW20=10,'Skill Index'!A20,"")</f>
        <v/>
      </c>
      <c r="B22" s="1" t="str">
        <f>IF('Skill Index'!AW20=9,'Skill Index'!A20,"")</f>
        <v/>
      </c>
      <c r="C22" s="1" t="str">
        <f>IF('Skill Index'!AW20=8,'Skill Index'!A20,"")</f>
        <v/>
      </c>
      <c r="D22" s="1" t="str">
        <f>IF('Skill Index'!AW20=7,'Skill Index'!A20,"")</f>
        <v/>
      </c>
      <c r="E22" s="1" t="str">
        <f>IF('Skill Index'!AW20=6,'Skill Index'!A20,"")</f>
        <v/>
      </c>
      <c r="F22" s="99" t="str">
        <f>IF('Skill Index'!AW20&lt;6,'Skill Index'!A20,"")</f>
        <v>Swetha KJ</v>
      </c>
      <c r="I22" s="98" t="str">
        <f>IF('Skill Index'!AX20=10,'Skill Index'!A20,"")</f>
        <v/>
      </c>
      <c r="J22" s="1" t="str">
        <f>IF('Skill Index'!AX20=9,'Skill Index'!A20,"")</f>
        <v/>
      </c>
      <c r="K22" s="1" t="str">
        <f>IF('Skill Index'!AX20=8,'Skill Index'!A20,"")</f>
        <v/>
      </c>
      <c r="L22" s="1" t="str">
        <f>IF('Skill Index'!AX20=7,'Skill Index'!A20,"")</f>
        <v/>
      </c>
      <c r="M22" s="1" t="str">
        <f>IF('Skill Index'!AX20=6,'Skill Index'!A20,"")</f>
        <v/>
      </c>
      <c r="N22" s="99" t="str">
        <f>IF('Skill Index'!AX20&lt;6,'Skill Index'!A20,"")</f>
        <v>Swetha KJ</v>
      </c>
      <c r="Q22" s="98" t="str">
        <f>IF('Skill Index'!AY20=10,'Skill Index'!A20,"")</f>
        <v/>
      </c>
      <c r="R22" s="1" t="str">
        <f>IF('Skill Index'!AY20=9,'Skill Index'!A20,"")</f>
        <v/>
      </c>
      <c r="S22" s="1" t="str">
        <f>IF('Skill Index'!AY20=8,'Skill Index'!A20,"")</f>
        <v/>
      </c>
      <c r="T22" s="1" t="str">
        <f>IF('Skill Index'!AY20=7,'Skill Index'!A20,"")</f>
        <v/>
      </c>
      <c r="U22" s="1" t="str">
        <f>IF('Skill Index'!AY20=6,'Skill Index'!A20,"")</f>
        <v/>
      </c>
      <c r="V22" s="99" t="str">
        <f>IF('Skill Index'!AY20&lt;6,'Skill Index'!A20,"")</f>
        <v>Swetha KJ</v>
      </c>
    </row>
  </sheetData>
  <mergeCells count="3">
    <mergeCell ref="A1:F2"/>
    <mergeCell ref="I1:N2"/>
    <mergeCell ref="Q1:V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A3C0-14AF-4EC1-A945-5CAB001EFE4F}">
  <sheetPr codeName="Sheet39"/>
  <dimension ref="A1:N22"/>
  <sheetViews>
    <sheetView tabSelected="1" workbookViewId="0">
      <selection activeCell="H14" sqref="H14"/>
    </sheetView>
  </sheetViews>
  <sheetFormatPr defaultRowHeight="14.5" x14ac:dyDescent="0.35"/>
  <cols>
    <col min="1" max="1" width="13.1796875" customWidth="1"/>
    <col min="3" max="3" width="13.54296875" bestFit="1" customWidth="1"/>
    <col min="4" max="4" width="13.6328125" bestFit="1" customWidth="1"/>
    <col min="5" max="5" width="13.36328125" bestFit="1" customWidth="1"/>
    <col min="6" max="6" width="16.81640625" bestFit="1" customWidth="1"/>
    <col min="10" max="10" width="8.26953125" bestFit="1" customWidth="1"/>
    <col min="11" max="11" width="16.6328125" bestFit="1" customWidth="1"/>
    <col min="12" max="12" width="17.453125" bestFit="1" customWidth="1"/>
    <col min="13" max="13" width="13.36328125" bestFit="1" customWidth="1"/>
    <col min="14" max="14" width="16.81640625" bestFit="1" customWidth="1"/>
  </cols>
  <sheetData>
    <row r="1" spans="1:14" ht="14.5" customHeight="1" x14ac:dyDescent="0.35">
      <c r="A1" s="84" t="s">
        <v>264</v>
      </c>
      <c r="B1" s="84"/>
      <c r="C1" s="84"/>
      <c r="D1" s="84"/>
      <c r="E1" s="84"/>
      <c r="F1" s="84"/>
      <c r="I1" s="84" t="s">
        <v>308</v>
      </c>
      <c r="J1" s="84"/>
      <c r="K1" s="84"/>
      <c r="L1" s="84"/>
      <c r="M1" s="84"/>
      <c r="N1" s="84"/>
    </row>
    <row r="2" spans="1:14" ht="14.5" customHeight="1" x14ac:dyDescent="0.35">
      <c r="A2" s="84"/>
      <c r="B2" s="84"/>
      <c r="C2" s="84"/>
      <c r="D2" s="84"/>
      <c r="E2" s="84"/>
      <c r="F2" s="84"/>
      <c r="I2" s="84"/>
      <c r="J2" s="84"/>
      <c r="K2" s="84"/>
      <c r="L2" s="84"/>
      <c r="M2" s="84"/>
      <c r="N2" s="84"/>
    </row>
    <row r="5" spans="1:14" x14ac:dyDescent="0.35">
      <c r="A5" s="85" t="s">
        <v>210</v>
      </c>
      <c r="B5" s="85" t="s">
        <v>213</v>
      </c>
      <c r="C5" s="85" t="s">
        <v>217</v>
      </c>
      <c r="D5" s="85" t="s">
        <v>221</v>
      </c>
      <c r="E5" s="85" t="s">
        <v>225</v>
      </c>
      <c r="F5" s="86" t="s">
        <v>286</v>
      </c>
      <c r="I5" s="85" t="s">
        <v>210</v>
      </c>
      <c r="J5" s="85" t="s">
        <v>213</v>
      </c>
      <c r="K5" s="85" t="s">
        <v>217</v>
      </c>
      <c r="L5" s="85" t="s">
        <v>221</v>
      </c>
      <c r="M5" s="85" t="s">
        <v>225</v>
      </c>
      <c r="N5" s="86" t="s">
        <v>286</v>
      </c>
    </row>
    <row r="6" spans="1:14" x14ac:dyDescent="0.35">
      <c r="A6" s="1" t="str">
        <f>IF('Skill Index'!AZ4=10,'Skill Index'!A4,"")</f>
        <v/>
      </c>
      <c r="B6" s="1" t="str">
        <f>IF('Skill Index'!AZ4=9,'Skill Index'!A4,"")</f>
        <v/>
      </c>
      <c r="C6" s="1" t="str">
        <f>IF('Skill Index'!AZ4=8,'Skill Index'!A4,"")</f>
        <v/>
      </c>
      <c r="D6" s="1" t="str">
        <f>IF('Skill Index'!AZ4=7,'Skill Index'!A4,"")</f>
        <v>Ankit Rajput</v>
      </c>
      <c r="E6" s="1" t="str">
        <f>IF('Skill Index'!AZ4=6,'Skill Index'!A4,"")</f>
        <v/>
      </c>
      <c r="F6" s="1" t="str">
        <f>IF('Skill Index'!AZ4&lt;6,'Skill Index'!A4,"")</f>
        <v/>
      </c>
      <c r="I6" s="1" t="str">
        <f>IF('Skill Index'!BA4=10,'Skill Index'!A4,"")</f>
        <v/>
      </c>
      <c r="J6" s="1" t="str">
        <f>IF('Skill Index'!BA4=9,'Skill Index'!A4,"")</f>
        <v/>
      </c>
      <c r="K6" s="1" t="str">
        <f>IF('Skill Index'!BA4=8,'Skill Index'!A4,"")</f>
        <v/>
      </c>
      <c r="L6" s="1" t="str">
        <f>IF('Skill Index'!BA4=7,'Skill Index'!A4,"")</f>
        <v/>
      </c>
      <c r="M6" s="1" t="str">
        <f>IF('Skill Index'!BA4=6,'Skill Index'!A4,"")</f>
        <v/>
      </c>
      <c r="N6" s="1" t="str">
        <f>IF('Skill Index'!BA4&lt;6,'Skill Index'!A4,"")</f>
        <v>Ankit Rajput</v>
      </c>
    </row>
    <row r="7" spans="1:14" x14ac:dyDescent="0.35">
      <c r="A7" s="1" t="str">
        <f>IF('Skill Index'!AZ5=10,'Skill Index'!A5,"")</f>
        <v/>
      </c>
      <c r="B7" s="1" t="str">
        <f>IF('Skill Index'!AZ5=9,'Skill Index'!A5,"")</f>
        <v/>
      </c>
      <c r="C7" s="1" t="str">
        <f>IF('Skill Index'!AZ5=8,'Skill Index'!A5,"")</f>
        <v/>
      </c>
      <c r="D7" s="1" t="str">
        <f>IF('Skill Index'!AZ5=7,'Skill Index'!A5,"")</f>
        <v/>
      </c>
      <c r="E7" s="1" t="str">
        <f>IF('Skill Index'!AZ5=6,'Skill Index'!A5,"")</f>
        <v/>
      </c>
      <c r="F7" s="1" t="str">
        <f>IF('Skill Index'!AZ5&lt;6,'Skill Index'!A5,"")</f>
        <v>Anusha Gunda</v>
      </c>
      <c r="I7" s="1" t="str">
        <f>IF('Skill Index'!BA5=10,'Skill Index'!A5,"")</f>
        <v/>
      </c>
      <c r="J7" s="1" t="str">
        <f>IF('Skill Index'!BA5=9,'Skill Index'!A5,"")</f>
        <v/>
      </c>
      <c r="K7" s="1" t="str">
        <f>IF('Skill Index'!BA5=8,'Skill Index'!A5,"")</f>
        <v/>
      </c>
      <c r="L7" s="1" t="str">
        <f>IF('Skill Index'!BA5=7,'Skill Index'!A5,"")</f>
        <v/>
      </c>
      <c r="M7" s="1" t="str">
        <f>IF('Skill Index'!BA5=6,'Skill Index'!A5,"")</f>
        <v/>
      </c>
      <c r="N7" s="1" t="str">
        <f>IF('Skill Index'!BA5&lt;6,'Skill Index'!A5,"")</f>
        <v>Anusha Gunda</v>
      </c>
    </row>
    <row r="8" spans="1:14" x14ac:dyDescent="0.35">
      <c r="A8" s="1" t="str">
        <f>IF('Skill Index'!AZ6=10,'Skill Index'!A6,"")</f>
        <v/>
      </c>
      <c r="B8" s="1" t="str">
        <f>IF('Skill Index'!AZ6=9,'Skill Index'!A6,"")</f>
        <v/>
      </c>
      <c r="C8" s="1" t="str">
        <f>IF('Skill Index'!AZ6=8,'Skill Index'!A6,"")</f>
        <v/>
      </c>
      <c r="D8" s="1" t="str">
        <f>IF('Skill Index'!AZ6=7,'Skill Index'!A6,"")</f>
        <v/>
      </c>
      <c r="E8" s="1" t="str">
        <f>IF('Skill Index'!AZ6=6,'Skill Index'!A6,"")</f>
        <v/>
      </c>
      <c r="F8" s="1" t="str">
        <f>IF('Skill Index'!AZ6&lt;6,'Skill Index'!A6,"")</f>
        <v>Arun Kumar</v>
      </c>
      <c r="I8" s="1" t="str">
        <f>IF('Skill Index'!BA6=10,'Skill Index'!A6,"")</f>
        <v/>
      </c>
      <c r="J8" s="1" t="str">
        <f>IF('Skill Index'!BA6=9,'Skill Index'!A6,"")</f>
        <v/>
      </c>
      <c r="K8" s="1" t="str">
        <f>IF('Skill Index'!BA6=8,'Skill Index'!A6,"")</f>
        <v/>
      </c>
      <c r="L8" s="1" t="str">
        <f>IF('Skill Index'!BA6=7,'Skill Index'!A6,"")</f>
        <v/>
      </c>
      <c r="M8" s="1" t="str">
        <f>IF('Skill Index'!BA6=6,'Skill Index'!A6,"")</f>
        <v/>
      </c>
      <c r="N8" s="1" t="str">
        <f>IF('Skill Index'!BA6&lt;6,'Skill Index'!A6,"")</f>
        <v>Arun Kumar</v>
      </c>
    </row>
    <row r="9" spans="1:14" x14ac:dyDescent="0.35">
      <c r="A9" s="1" t="str">
        <f>IF('Skill Index'!AZ7=10,'Skill Index'!A7,"")</f>
        <v/>
      </c>
      <c r="B9" s="1" t="str">
        <f>IF('Skill Index'!AZ7=9,'Skill Index'!A7,"")</f>
        <v/>
      </c>
      <c r="C9" s="1" t="str">
        <f>IF('Skill Index'!AZ7=8,'Skill Index'!A7,"")</f>
        <v/>
      </c>
      <c r="D9" s="1" t="str">
        <f>IF('Skill Index'!AZ7=7,'Skill Index'!A7,"")</f>
        <v>Ashraya H D</v>
      </c>
      <c r="E9" s="1" t="str">
        <f>IF('Skill Index'!AZ7=6,'Skill Index'!A7,"")</f>
        <v/>
      </c>
      <c r="F9" s="1" t="str">
        <f>IF('Skill Index'!AZ7&lt;6,'Skill Index'!A7,"")</f>
        <v/>
      </c>
      <c r="I9" s="1" t="str">
        <f>IF('Skill Index'!BA7=10,'Skill Index'!A7,"")</f>
        <v/>
      </c>
      <c r="J9" s="1" t="str">
        <f>IF('Skill Index'!BA7=9,'Skill Index'!A7,"")</f>
        <v/>
      </c>
      <c r="K9" s="1" t="str">
        <f>IF('Skill Index'!BA7=8,'Skill Index'!A7,"")</f>
        <v/>
      </c>
      <c r="L9" s="1" t="str">
        <f>IF('Skill Index'!BA7=7,'Skill Index'!A7,"")</f>
        <v/>
      </c>
      <c r="M9" s="1" t="str">
        <f>IF('Skill Index'!BA7=6,'Skill Index'!A7,"")</f>
        <v>Ashraya H D</v>
      </c>
      <c r="N9" s="1" t="str">
        <f>IF('Skill Index'!BA7&lt;6,'Skill Index'!A7,"")</f>
        <v/>
      </c>
    </row>
    <row r="10" spans="1:14" x14ac:dyDescent="0.35">
      <c r="A10" s="1" t="str">
        <f>IF('Skill Index'!AZ8=10,'Skill Index'!A8,"")</f>
        <v/>
      </c>
      <c r="B10" s="1" t="str">
        <f>IF('Skill Index'!AZ8=9,'Skill Index'!A8,"")</f>
        <v/>
      </c>
      <c r="C10" s="1" t="str">
        <f>IF('Skill Index'!AZ8=8,'Skill Index'!A8,"")</f>
        <v/>
      </c>
      <c r="D10" s="1" t="str">
        <f>IF('Skill Index'!AZ8=7,'Skill Index'!A8,"")</f>
        <v/>
      </c>
      <c r="E10" s="1" t="str">
        <f>IF('Skill Index'!AZ8=6,'Skill Index'!A8,"")</f>
        <v/>
      </c>
      <c r="F10" s="1" t="str">
        <f>IF('Skill Index'!AZ8&lt;6,'Skill Index'!A8,"")</f>
        <v>Jeet Doshi</v>
      </c>
      <c r="I10" s="1" t="str">
        <f>IF('Skill Index'!BA8=10,'Skill Index'!A8,"")</f>
        <v/>
      </c>
      <c r="J10" s="1" t="str">
        <f>IF('Skill Index'!BA8=9,'Skill Index'!A8,"")</f>
        <v/>
      </c>
      <c r="K10" s="1" t="str">
        <f>IF('Skill Index'!BA8=8,'Skill Index'!A8,"")</f>
        <v/>
      </c>
      <c r="L10" s="1" t="str">
        <f>IF('Skill Index'!BA8=7,'Skill Index'!A8,"")</f>
        <v/>
      </c>
      <c r="M10" s="1" t="str">
        <f>IF('Skill Index'!BA8=6,'Skill Index'!A8,"")</f>
        <v/>
      </c>
      <c r="N10" s="1" t="str">
        <f>IF('Skill Index'!BA8&lt;6,'Skill Index'!A8,"")</f>
        <v>Jeet Doshi</v>
      </c>
    </row>
    <row r="11" spans="1:14" x14ac:dyDescent="0.35">
      <c r="A11" s="1" t="str">
        <f>IF('Skill Index'!AZ9=10,'Skill Index'!A9,"")</f>
        <v/>
      </c>
      <c r="B11" s="1" t="str">
        <f>IF('Skill Index'!AZ9=9,'Skill Index'!A9,"")</f>
        <v/>
      </c>
      <c r="C11" s="1" t="str">
        <f>IF('Skill Index'!AZ9=8,'Skill Index'!A9,"")</f>
        <v/>
      </c>
      <c r="D11" s="1" t="str">
        <f>IF('Skill Index'!AZ9=7,'Skill Index'!A9,"")</f>
        <v/>
      </c>
      <c r="E11" s="1" t="str">
        <f>IF('Skill Index'!AZ9=6,'Skill Index'!A9,"")</f>
        <v/>
      </c>
      <c r="F11" s="1" t="str">
        <f>IF('Skill Index'!AZ9&lt;6,'Skill Index'!A9,"")</f>
        <v>Mahesh Kumar</v>
      </c>
      <c r="I11" s="1" t="str">
        <f>IF('Skill Index'!BA9=10,'Skill Index'!A9,"")</f>
        <v/>
      </c>
      <c r="J11" s="1" t="str">
        <f>IF('Skill Index'!BA9=9,'Skill Index'!A9,"")</f>
        <v/>
      </c>
      <c r="K11" s="1" t="str">
        <f>IF('Skill Index'!BA9=8,'Skill Index'!A9,"")</f>
        <v/>
      </c>
      <c r="L11" s="1" t="str">
        <f>IF('Skill Index'!BA9=7,'Skill Index'!A9,"")</f>
        <v/>
      </c>
      <c r="M11" s="1" t="str">
        <f>IF('Skill Index'!BA9=6,'Skill Index'!A9,"")</f>
        <v/>
      </c>
      <c r="N11" s="1" t="str">
        <f>IF('Skill Index'!BA9&lt;6,'Skill Index'!A9,"")</f>
        <v>Mahesh Kumar</v>
      </c>
    </row>
    <row r="12" spans="1:14" x14ac:dyDescent="0.35">
      <c r="A12" s="1" t="str">
        <f>IF('Skill Index'!AZ10=10,'Skill Index'!A10,"")</f>
        <v/>
      </c>
      <c r="B12" s="1" t="str">
        <f>IF('Skill Index'!AZ10=9,'Skill Index'!A10,"")</f>
        <v/>
      </c>
      <c r="C12" s="1" t="str">
        <f>IF('Skill Index'!AZ10=8,'Skill Index'!A10,"")</f>
        <v/>
      </c>
      <c r="D12" s="1" t="str">
        <f>IF('Skill Index'!AZ10=7,'Skill Index'!A10,"")</f>
        <v/>
      </c>
      <c r="E12" s="1" t="str">
        <f>IF('Skill Index'!AZ10=6,'Skill Index'!A10,"")</f>
        <v/>
      </c>
      <c r="F12" s="1" t="str">
        <f>IF('Skill Index'!AZ10&lt;6,'Skill Index'!A10,"")</f>
        <v>Nilekha Repaka</v>
      </c>
      <c r="I12" s="1" t="str">
        <f>IF('Skill Index'!BA10=10,'Skill Index'!A10,"")</f>
        <v/>
      </c>
      <c r="J12" s="1" t="str">
        <f>IF('Skill Index'!BA10=9,'Skill Index'!A10,"")</f>
        <v/>
      </c>
      <c r="K12" s="1" t="str">
        <f>IF('Skill Index'!BA10=8,'Skill Index'!A10,"")</f>
        <v/>
      </c>
      <c r="L12" s="1" t="str">
        <f>IF('Skill Index'!BA10=7,'Skill Index'!A10,"")</f>
        <v/>
      </c>
      <c r="M12" s="1" t="str">
        <f>IF('Skill Index'!BA10=6,'Skill Index'!A10,"")</f>
        <v/>
      </c>
      <c r="N12" s="1" t="str">
        <f>IF('Skill Index'!BA10&lt;6,'Skill Index'!A10,"")</f>
        <v>Nilekha Repaka</v>
      </c>
    </row>
    <row r="13" spans="1:14" x14ac:dyDescent="0.35">
      <c r="A13" s="1" t="str">
        <f>IF('Skill Index'!AZ11=10,'Skill Index'!A11,"")</f>
        <v/>
      </c>
      <c r="B13" s="1" t="str">
        <f>IF('Skill Index'!AZ11=9,'Skill Index'!A11,"")</f>
        <v/>
      </c>
      <c r="C13" s="1" t="str">
        <f>IF('Skill Index'!AZ11=8,'Skill Index'!A11,"")</f>
        <v/>
      </c>
      <c r="D13" s="1" t="str">
        <f>IF('Skill Index'!AZ11=7,'Skill Index'!A11,"")</f>
        <v/>
      </c>
      <c r="E13" s="1" t="str">
        <f>IF('Skill Index'!AZ11=6,'Skill Index'!A11,"")</f>
        <v/>
      </c>
      <c r="F13" s="1" t="str">
        <f>IF('Skill Index'!AZ11&lt;6,'Skill Index'!A11,"")</f>
        <v>Pawan Rathore</v>
      </c>
      <c r="I13" s="1" t="str">
        <f>IF('Skill Index'!BA11=10,'Skill Index'!A11,"")</f>
        <v/>
      </c>
      <c r="J13" s="1" t="str">
        <f>IF('Skill Index'!BA11=9,'Skill Index'!A11,"")</f>
        <v/>
      </c>
      <c r="K13" s="1" t="str">
        <f>IF('Skill Index'!BA11=8,'Skill Index'!A11,"")</f>
        <v/>
      </c>
      <c r="L13" s="1" t="str">
        <f>IF('Skill Index'!BA11=7,'Skill Index'!A11,"")</f>
        <v/>
      </c>
      <c r="M13" s="1" t="str">
        <f>IF('Skill Index'!BA11=6,'Skill Index'!A11,"")</f>
        <v/>
      </c>
      <c r="N13" s="1" t="str">
        <f>IF('Skill Index'!BA11&lt;6,'Skill Index'!A11,"")</f>
        <v>Pawan Rathore</v>
      </c>
    </row>
    <row r="14" spans="1:14" x14ac:dyDescent="0.35">
      <c r="A14" s="1" t="str">
        <f>IF('Skill Index'!AZ12=10,'Skill Index'!A12,"")</f>
        <v/>
      </c>
      <c r="B14" s="1" t="str">
        <f>IF('Skill Index'!AZ12=9,'Skill Index'!A12,"")</f>
        <v/>
      </c>
      <c r="C14" s="1" t="str">
        <f>IF('Skill Index'!AZ12=8,'Skill Index'!A12,"")</f>
        <v/>
      </c>
      <c r="D14" s="1" t="str">
        <f>IF('Skill Index'!AZ12=7,'Skill Index'!A12,"")</f>
        <v/>
      </c>
      <c r="E14" s="1" t="str">
        <f>IF('Skill Index'!AZ12=6,'Skill Index'!A12,"")</f>
        <v/>
      </c>
      <c r="F14" s="1" t="str">
        <f>IF('Skill Index'!AZ12&lt;6,'Skill Index'!A12,"")</f>
        <v>Priyesh Tiwari</v>
      </c>
      <c r="I14" s="1" t="str">
        <f>IF('Skill Index'!BA12=10,'Skill Index'!A12,"")</f>
        <v/>
      </c>
      <c r="J14" s="1" t="str">
        <f>IF('Skill Index'!BA12=9,'Skill Index'!A12,"")</f>
        <v/>
      </c>
      <c r="K14" s="1" t="str">
        <f>IF('Skill Index'!BA12=8,'Skill Index'!A12,"")</f>
        <v/>
      </c>
      <c r="L14" s="1" t="str">
        <f>IF('Skill Index'!BA12=7,'Skill Index'!A12,"")</f>
        <v>Priyesh Tiwari</v>
      </c>
      <c r="M14" s="1" t="str">
        <f>IF('Skill Index'!BA12=6,'Skill Index'!A12,"")</f>
        <v/>
      </c>
      <c r="N14" s="1" t="str">
        <f>IF('Skill Index'!BA12&lt;6,'Skill Index'!A12,"")</f>
        <v/>
      </c>
    </row>
    <row r="15" spans="1:14" x14ac:dyDescent="0.35">
      <c r="A15" s="1" t="str">
        <f>IF('Skill Index'!AZ13=10,'Skill Index'!A13,"")</f>
        <v/>
      </c>
      <c r="B15" s="1" t="str">
        <f>IF('Skill Index'!AZ13=9,'Skill Index'!A13,"")</f>
        <v/>
      </c>
      <c r="C15" s="1" t="str">
        <f>IF('Skill Index'!AZ13=8,'Skill Index'!A13,"")</f>
        <v/>
      </c>
      <c r="D15" s="1" t="str">
        <f>IF('Skill Index'!AZ13=7,'Skill Index'!A13,"")</f>
        <v/>
      </c>
      <c r="E15" s="1" t="str">
        <f>IF('Skill Index'!AZ13=6,'Skill Index'!A13,"")</f>
        <v/>
      </c>
      <c r="F15" s="1" t="str">
        <f>IF('Skill Index'!AZ13&lt;6,'Skill Index'!A13,"")</f>
        <v>Rahul Kumar</v>
      </c>
      <c r="I15" s="1" t="str">
        <f>IF('Skill Index'!BA13=10,'Skill Index'!A13,"")</f>
        <v/>
      </c>
      <c r="J15" s="1" t="str">
        <f>IF('Skill Index'!BA13=9,'Skill Index'!A13,"")</f>
        <v/>
      </c>
      <c r="K15" s="1" t="str">
        <f>IF('Skill Index'!BA13=8,'Skill Index'!A13,"")</f>
        <v/>
      </c>
      <c r="L15" s="1" t="str">
        <f>IF('Skill Index'!BA13=7,'Skill Index'!A13,"")</f>
        <v/>
      </c>
      <c r="M15" s="1" t="str">
        <f>IF('Skill Index'!BA13=6,'Skill Index'!A13,"")</f>
        <v/>
      </c>
      <c r="N15" s="1" t="str">
        <f>IF('Skill Index'!BA13&lt;6,'Skill Index'!A13,"")</f>
        <v>Rahul Kumar</v>
      </c>
    </row>
    <row r="16" spans="1:14" x14ac:dyDescent="0.35">
      <c r="A16" s="1" t="str">
        <f>IF('Skill Index'!AZ14=10,'Skill Index'!A14,"")</f>
        <v/>
      </c>
      <c r="B16" s="1" t="str">
        <f>IF('Skill Index'!AZ14=9,'Skill Index'!A14,"")</f>
        <v/>
      </c>
      <c r="C16" s="1" t="str">
        <f>IF('Skill Index'!AZ14=8,'Skill Index'!A14,"")</f>
        <v/>
      </c>
      <c r="D16" s="1" t="str">
        <f>IF('Skill Index'!AZ14=7,'Skill Index'!A14,"")</f>
        <v>Ramkrishna Kadiya</v>
      </c>
      <c r="E16" s="1" t="str">
        <f>IF('Skill Index'!AZ14=6,'Skill Index'!A14,"")</f>
        <v/>
      </c>
      <c r="F16" s="1" t="str">
        <f>IF('Skill Index'!AZ14&lt;6,'Skill Index'!A14,"")</f>
        <v/>
      </c>
      <c r="I16" s="1" t="str">
        <f>IF('Skill Index'!BA14=10,'Skill Index'!A14,"")</f>
        <v/>
      </c>
      <c r="J16" s="1" t="str">
        <f>IF('Skill Index'!BA14=9,'Skill Index'!A14,"")</f>
        <v/>
      </c>
      <c r="K16" s="1" t="str">
        <f>IF('Skill Index'!BA14=8,'Skill Index'!A14,"")</f>
        <v/>
      </c>
      <c r="L16" s="1" t="str">
        <f>IF('Skill Index'!BA14=7,'Skill Index'!A14,"")</f>
        <v>Ramkrishna Kadiya</v>
      </c>
      <c r="M16" s="1" t="str">
        <f>IF('Skill Index'!BA14=6,'Skill Index'!A14,"")</f>
        <v/>
      </c>
      <c r="N16" s="1" t="str">
        <f>IF('Skill Index'!BA14&lt;6,'Skill Index'!A14,"")</f>
        <v/>
      </c>
    </row>
    <row r="17" spans="1:14" x14ac:dyDescent="0.35">
      <c r="A17" s="1" t="str">
        <f>IF('Skill Index'!AZ15=10,'Skill Index'!A15,"")</f>
        <v/>
      </c>
      <c r="B17" s="1" t="str">
        <f>IF('Skill Index'!AZ15=9,'Skill Index'!A15,"")</f>
        <v/>
      </c>
      <c r="C17" s="1" t="str">
        <f>IF('Skill Index'!AZ15=8,'Skill Index'!A15,"")</f>
        <v/>
      </c>
      <c r="D17" s="1" t="str">
        <f>IF('Skill Index'!AZ15=7,'Skill Index'!A15,"")</f>
        <v/>
      </c>
      <c r="E17" s="1" t="str">
        <f>IF('Skill Index'!AZ15=6,'Skill Index'!A15,"")</f>
        <v/>
      </c>
      <c r="F17" s="1" t="str">
        <f>IF('Skill Index'!AZ15&lt;6,'Skill Index'!A15,"")</f>
        <v>Revanth Anguluri</v>
      </c>
      <c r="I17" s="1" t="str">
        <f>IF('Skill Index'!BA15=10,'Skill Index'!A15,"")</f>
        <v/>
      </c>
      <c r="J17" s="1" t="str">
        <f>IF('Skill Index'!BA15=9,'Skill Index'!A15,"")</f>
        <v/>
      </c>
      <c r="K17" s="1" t="str">
        <f>IF('Skill Index'!BA15=8,'Skill Index'!A15,"")</f>
        <v>Revanth Anguluri</v>
      </c>
      <c r="L17" s="1" t="str">
        <f>IF('Skill Index'!BA15=7,'Skill Index'!A15,"")</f>
        <v/>
      </c>
      <c r="M17" s="1" t="str">
        <f>IF('Skill Index'!BA15=6,'Skill Index'!A15,"")</f>
        <v/>
      </c>
      <c r="N17" s="1" t="str">
        <f>IF('Skill Index'!BA15&lt;6,'Skill Index'!A15,"")</f>
        <v/>
      </c>
    </row>
    <row r="18" spans="1:14" x14ac:dyDescent="0.35">
      <c r="A18" s="1" t="str">
        <f>IF('Skill Index'!AZ16=10,'Skill Index'!A16,"")</f>
        <v/>
      </c>
      <c r="B18" s="1" t="str">
        <f>IF('Skill Index'!AZ16=9,'Skill Index'!A16,"")</f>
        <v/>
      </c>
      <c r="C18" s="1" t="str">
        <f>IF('Skill Index'!AZ16=8,'Skill Index'!A16,"")</f>
        <v/>
      </c>
      <c r="D18" s="1" t="str">
        <f>IF('Skill Index'!AZ16=7,'Skill Index'!A16,"")</f>
        <v/>
      </c>
      <c r="E18" s="1" t="str">
        <f>IF('Skill Index'!AZ16=6,'Skill Index'!A16,"")</f>
        <v/>
      </c>
      <c r="F18" s="1" t="str">
        <f>IF('Skill Index'!AZ16&lt;6,'Skill Index'!A16,"")</f>
        <v>Sagar Sable</v>
      </c>
      <c r="I18" s="1" t="str">
        <f>IF('Skill Index'!BA16=10,'Skill Index'!A16,"")</f>
        <v/>
      </c>
      <c r="J18" s="1" t="str">
        <f>IF('Skill Index'!BA16=9,'Skill Index'!A16,"")</f>
        <v/>
      </c>
      <c r="K18" s="1" t="str">
        <f>IF('Skill Index'!BA16=8,'Skill Index'!A16,"")</f>
        <v/>
      </c>
      <c r="L18" s="1" t="str">
        <f>IF('Skill Index'!BA16=7,'Skill Index'!A16,"")</f>
        <v/>
      </c>
      <c r="M18" s="1" t="str">
        <f>IF('Skill Index'!BA16=6,'Skill Index'!A16,"")</f>
        <v>Sagar Sable</v>
      </c>
      <c r="N18" s="1" t="str">
        <f>IF('Skill Index'!BA16&lt;6,'Skill Index'!A16,"")</f>
        <v/>
      </c>
    </row>
    <row r="19" spans="1:14" x14ac:dyDescent="0.35">
      <c r="A19" s="1" t="str">
        <f>IF('Skill Index'!AZ17=10,'Skill Index'!A17,"")</f>
        <v/>
      </c>
      <c r="B19" s="1" t="str">
        <f>IF('Skill Index'!AZ17=9,'Skill Index'!A17,"")</f>
        <v/>
      </c>
      <c r="C19" s="1" t="str">
        <f>IF('Skill Index'!AZ17=8,'Skill Index'!A17,"")</f>
        <v/>
      </c>
      <c r="D19" s="1" t="str">
        <f>IF('Skill Index'!AZ17=7,'Skill Index'!A17,"")</f>
        <v/>
      </c>
      <c r="E19" s="1" t="str">
        <f>IF('Skill Index'!AZ17=6,'Skill Index'!A17,"")</f>
        <v/>
      </c>
      <c r="F19" s="1" t="str">
        <f>IF('Skill Index'!AZ17&lt;6,'Skill Index'!A17,"")</f>
        <v>Shreya Ramprakash</v>
      </c>
      <c r="I19" s="1" t="str">
        <f>IF('Skill Index'!BA17=10,'Skill Index'!A17,"")</f>
        <v/>
      </c>
      <c r="J19" s="1" t="str">
        <f>IF('Skill Index'!BA17=9,'Skill Index'!A17,"")</f>
        <v/>
      </c>
      <c r="K19" s="1" t="str">
        <f>IF('Skill Index'!BA17=8,'Skill Index'!A17,"")</f>
        <v/>
      </c>
      <c r="L19" s="1" t="str">
        <f>IF('Skill Index'!BA17=7,'Skill Index'!A17,"")</f>
        <v/>
      </c>
      <c r="M19" s="1" t="str">
        <f>IF('Skill Index'!BA17=6,'Skill Index'!A17,"")</f>
        <v>Shreya Ramprakash</v>
      </c>
      <c r="N19" s="1" t="str">
        <f>IF('Skill Index'!BA17&lt;6,'Skill Index'!A17,"")</f>
        <v/>
      </c>
    </row>
    <row r="20" spans="1:14" x14ac:dyDescent="0.35">
      <c r="A20" s="1" t="str">
        <f>IF('Skill Index'!AZ18=10,'Skill Index'!A18,"")</f>
        <v/>
      </c>
      <c r="B20" s="1" t="str">
        <f>IF('Skill Index'!AZ18=9,'Skill Index'!A18,"")</f>
        <v/>
      </c>
      <c r="C20" s="1" t="str">
        <f>IF('Skill Index'!AZ18=8,'Skill Index'!A18,"")</f>
        <v/>
      </c>
      <c r="D20" s="1" t="str">
        <f>IF('Skill Index'!AZ18=7,'Skill Index'!A18,"")</f>
        <v>Shreyas Risodkar</v>
      </c>
      <c r="E20" s="1" t="str">
        <f>IF('Skill Index'!AZ18=6,'Skill Index'!A18,"")</f>
        <v/>
      </c>
      <c r="F20" s="1" t="str">
        <f>IF('Skill Index'!AZ18&lt;6,'Skill Index'!A18,"")</f>
        <v/>
      </c>
      <c r="I20" s="1" t="str">
        <f>IF('Skill Index'!BA18=10,'Skill Index'!A18,"")</f>
        <v/>
      </c>
      <c r="J20" s="1" t="str">
        <f>IF('Skill Index'!BA18=9,'Skill Index'!A18,"")</f>
        <v/>
      </c>
      <c r="K20" s="1" t="str">
        <f>IF('Skill Index'!BA18=8,'Skill Index'!A18,"")</f>
        <v>Shreyas Risodkar</v>
      </c>
      <c r="L20" s="1" t="str">
        <f>IF('Skill Index'!BA18=7,'Skill Index'!A18,"")</f>
        <v/>
      </c>
      <c r="M20" s="1" t="str">
        <f>IF('Skill Index'!BA18=6,'Skill Index'!A18,"")</f>
        <v/>
      </c>
      <c r="N20" s="1" t="str">
        <f>IF('Skill Index'!BA18&lt;6,'Skill Index'!A18,"")</f>
        <v/>
      </c>
    </row>
    <row r="21" spans="1:14" x14ac:dyDescent="0.35">
      <c r="A21" s="1" t="str">
        <f>IF('Skill Index'!AZ19=10,'Skill Index'!A19,"")</f>
        <v/>
      </c>
      <c r="B21" s="1" t="str">
        <f>IF('Skill Index'!AZ19=9,'Skill Index'!A19,"")</f>
        <v/>
      </c>
      <c r="C21" s="1" t="str">
        <f>IF('Skill Index'!AZ19=8,'Skill Index'!A19,"")</f>
        <v/>
      </c>
      <c r="D21" s="1" t="str">
        <f>IF('Skill Index'!AZ19=7,'Skill Index'!A19,"")</f>
        <v>Srikirti Raj</v>
      </c>
      <c r="E21" s="1" t="str">
        <f>IF('Skill Index'!AZ19=6,'Skill Index'!A19,"")</f>
        <v/>
      </c>
      <c r="F21" s="1" t="str">
        <f>IF('Skill Index'!AZ19&lt;6,'Skill Index'!A19,"")</f>
        <v/>
      </c>
      <c r="I21" s="1" t="str">
        <f>IF('Skill Index'!BA19=10,'Skill Index'!A19,"")</f>
        <v/>
      </c>
      <c r="J21" s="1" t="str">
        <f>IF('Skill Index'!BA19=9,'Skill Index'!A19,"")</f>
        <v/>
      </c>
      <c r="K21" s="1" t="str">
        <f>IF('Skill Index'!BA19=8,'Skill Index'!A19,"")</f>
        <v>Srikirti Raj</v>
      </c>
      <c r="L21" s="1" t="str">
        <f>IF('Skill Index'!BA19=7,'Skill Index'!A19,"")</f>
        <v/>
      </c>
      <c r="M21" s="1" t="str">
        <f>IF('Skill Index'!BA19=6,'Skill Index'!A19,"")</f>
        <v/>
      </c>
      <c r="N21" s="1" t="str">
        <f>IF('Skill Index'!BA19&lt;6,'Skill Index'!A19,"")</f>
        <v/>
      </c>
    </row>
    <row r="22" spans="1:14" x14ac:dyDescent="0.35">
      <c r="A22" s="1" t="str">
        <f>IF('Skill Index'!AZ20=10,'Skill Index'!A20,"")</f>
        <v/>
      </c>
      <c r="B22" s="1" t="str">
        <f>IF('Skill Index'!AZ20=9,'Skill Index'!A20,"")</f>
        <v/>
      </c>
      <c r="C22" s="1" t="str">
        <f>IF('Skill Index'!AZ20=8,'Skill Index'!A20,"")</f>
        <v/>
      </c>
      <c r="D22" s="1" t="str">
        <f>IF('Skill Index'!AZ20=7,'Skill Index'!A20,"")</f>
        <v/>
      </c>
      <c r="E22" s="1" t="str">
        <f>IF('Skill Index'!AZ20=6,'Skill Index'!A20,"")</f>
        <v>Swetha KJ</v>
      </c>
      <c r="F22" s="1" t="str">
        <f>IF('Skill Index'!AZ20&lt;6,'Skill Index'!A20,"")</f>
        <v/>
      </c>
      <c r="I22" s="1" t="str">
        <f>IF('Skill Index'!BA20=10,'Skill Index'!A20,"")</f>
        <v/>
      </c>
      <c r="J22" s="1" t="str">
        <f>IF('Skill Index'!BA20=9,'Skill Index'!A20,"")</f>
        <v/>
      </c>
      <c r="K22" s="1" t="str">
        <f>IF('Skill Index'!BA20=8,'Skill Index'!A20,"")</f>
        <v/>
      </c>
      <c r="L22" s="1" t="str">
        <f>IF('Skill Index'!BA20=7,'Skill Index'!A20,"")</f>
        <v/>
      </c>
      <c r="M22" s="1" t="str">
        <f>IF('Skill Index'!BA20=6,'Skill Index'!A20,"")</f>
        <v>Swetha KJ</v>
      </c>
      <c r="N22" s="1" t="str">
        <f>IF('Skill Index'!BA20&lt;6,'Skill Index'!A20,"")</f>
        <v/>
      </c>
    </row>
  </sheetData>
  <mergeCells count="2">
    <mergeCell ref="A1:F2"/>
    <mergeCell ref="I1:N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B035-F0CA-434B-93D6-5135923C65CF}">
  <sheetPr codeName="Sheet3"/>
  <dimension ref="A1:AZ18"/>
  <sheetViews>
    <sheetView workbookViewId="0">
      <selection sqref="A1:B1048576"/>
    </sheetView>
  </sheetViews>
  <sheetFormatPr defaultRowHeight="14.5" x14ac:dyDescent="0.35"/>
  <cols>
    <col min="1" max="1" width="27.6328125" customWidth="1"/>
    <col min="2" max="2" width="23.90625" style="77" customWidth="1"/>
    <col min="3" max="3" width="13.36328125" bestFit="1" customWidth="1"/>
    <col min="8" max="8" width="32.7265625" bestFit="1" customWidth="1"/>
    <col min="19" max="19" width="8.08984375" bestFit="1" customWidth="1"/>
  </cols>
  <sheetData>
    <row r="1" spans="1:52" ht="53" customHeight="1" x14ac:dyDescent="0.35">
      <c r="A1" s="23" t="s">
        <v>0</v>
      </c>
      <c r="B1" s="74" t="s">
        <v>2</v>
      </c>
      <c r="C1" s="23" t="s">
        <v>3</v>
      </c>
      <c r="D1" s="25" t="s">
        <v>244</v>
      </c>
      <c r="E1" s="25" t="s">
        <v>245</v>
      </c>
      <c r="F1" s="25" t="s">
        <v>246</v>
      </c>
      <c r="G1" s="25" t="s">
        <v>247</v>
      </c>
      <c r="H1" s="25" t="s">
        <v>265</v>
      </c>
      <c r="I1" s="25" t="s">
        <v>266</v>
      </c>
      <c r="J1" s="25" t="s">
        <v>267</v>
      </c>
      <c r="K1" s="25" t="s">
        <v>268</v>
      </c>
      <c r="L1" s="25" t="s">
        <v>248</v>
      </c>
      <c r="M1" s="25" t="s">
        <v>249</v>
      </c>
      <c r="N1" s="25" t="s">
        <v>269</v>
      </c>
      <c r="O1" s="25" t="s">
        <v>250</v>
      </c>
      <c r="P1" s="25" t="s">
        <v>251</v>
      </c>
      <c r="Q1" s="25" t="s">
        <v>270</v>
      </c>
      <c r="R1" s="25" t="s">
        <v>252</v>
      </c>
      <c r="S1" s="25" t="s">
        <v>271</v>
      </c>
      <c r="T1" s="25" t="s">
        <v>253</v>
      </c>
      <c r="U1" s="25" t="s">
        <v>254</v>
      </c>
      <c r="V1" s="25" t="s">
        <v>255</v>
      </c>
      <c r="W1" s="25" t="s">
        <v>256</v>
      </c>
      <c r="X1" s="25" t="s">
        <v>257</v>
      </c>
      <c r="Y1" s="25" t="s">
        <v>258</v>
      </c>
      <c r="Z1" s="25" t="s">
        <v>259</v>
      </c>
      <c r="AA1" s="25" t="s">
        <v>260</v>
      </c>
      <c r="AB1" s="25" t="s">
        <v>261</v>
      </c>
      <c r="AC1" s="25" t="s">
        <v>272</v>
      </c>
      <c r="AD1" s="25" t="s">
        <v>262</v>
      </c>
      <c r="AE1" s="30" t="s">
        <v>273</v>
      </c>
      <c r="AF1" s="30" t="s">
        <v>274</v>
      </c>
      <c r="AG1" s="30" t="s">
        <v>275</v>
      </c>
      <c r="AH1" s="30" t="s">
        <v>276</v>
      </c>
      <c r="AI1" s="30" t="s">
        <v>277</v>
      </c>
      <c r="AJ1" s="30" t="s">
        <v>278</v>
      </c>
      <c r="AK1" s="30" t="s">
        <v>279</v>
      </c>
      <c r="AL1" s="30" t="s">
        <v>280</v>
      </c>
      <c r="AM1" s="18" t="s">
        <v>23</v>
      </c>
      <c r="AN1" s="18" t="s">
        <v>24</v>
      </c>
      <c r="AO1" s="18" t="s">
        <v>25</v>
      </c>
      <c r="AP1" s="18" t="s">
        <v>26</v>
      </c>
      <c r="AQ1" s="18" t="s">
        <v>27</v>
      </c>
      <c r="AR1" s="18" t="s">
        <v>28</v>
      </c>
      <c r="AS1" s="18" t="s">
        <v>29</v>
      </c>
      <c r="AT1" s="18" t="s">
        <v>30</v>
      </c>
      <c r="AU1" s="22" t="s">
        <v>31</v>
      </c>
      <c r="AV1" s="25" t="s">
        <v>263</v>
      </c>
      <c r="AW1" s="25" t="s">
        <v>281</v>
      </c>
      <c r="AX1" s="25" t="s">
        <v>282</v>
      </c>
      <c r="AY1" s="25" t="s">
        <v>264</v>
      </c>
      <c r="AZ1" s="25" t="s">
        <v>283</v>
      </c>
    </row>
    <row r="2" spans="1:52" x14ac:dyDescent="0.35">
      <c r="A2" s="29" t="s">
        <v>48</v>
      </c>
      <c r="B2" s="75">
        <v>8</v>
      </c>
      <c r="C2" s="33">
        <v>8</v>
      </c>
      <c r="D2" s="33">
        <v>8</v>
      </c>
      <c r="E2" s="33">
        <v>6</v>
      </c>
      <c r="F2" s="33">
        <v>8</v>
      </c>
      <c r="G2" s="33">
        <v>6</v>
      </c>
      <c r="H2" s="33">
        <v>9</v>
      </c>
      <c r="I2" s="33">
        <v>8</v>
      </c>
      <c r="J2" s="33">
        <v>6</v>
      </c>
      <c r="K2" s="33">
        <v>7</v>
      </c>
      <c r="L2" s="33">
        <v>2</v>
      </c>
      <c r="M2" s="33">
        <v>8</v>
      </c>
      <c r="N2" s="33">
        <v>8</v>
      </c>
      <c r="O2" s="33">
        <v>3</v>
      </c>
      <c r="P2" s="33">
        <v>7</v>
      </c>
      <c r="Q2" s="33">
        <v>6</v>
      </c>
      <c r="R2" s="33">
        <v>6</v>
      </c>
      <c r="S2" s="33">
        <v>6</v>
      </c>
      <c r="T2" s="33">
        <v>4</v>
      </c>
      <c r="U2" s="33">
        <v>6</v>
      </c>
      <c r="V2" s="33">
        <v>3</v>
      </c>
      <c r="W2" s="33">
        <v>6</v>
      </c>
      <c r="X2" s="33">
        <v>6</v>
      </c>
      <c r="Y2" s="33">
        <v>2</v>
      </c>
      <c r="Z2" s="33">
        <v>2</v>
      </c>
      <c r="AA2" s="33">
        <v>5</v>
      </c>
      <c r="AB2" s="33">
        <v>3</v>
      </c>
      <c r="AC2" s="33">
        <v>3</v>
      </c>
      <c r="AD2" s="33">
        <v>3</v>
      </c>
      <c r="AE2" s="33">
        <v>1</v>
      </c>
      <c r="AF2" s="33">
        <v>1</v>
      </c>
      <c r="AG2" s="33">
        <v>1</v>
      </c>
      <c r="AH2" s="33">
        <v>1</v>
      </c>
      <c r="AI2" s="33">
        <v>3</v>
      </c>
      <c r="AJ2" s="33">
        <v>3</v>
      </c>
      <c r="AK2" s="33">
        <v>1</v>
      </c>
      <c r="AL2" s="33">
        <v>3</v>
      </c>
      <c r="AM2" s="33">
        <v>7</v>
      </c>
      <c r="AN2" s="33">
        <v>5</v>
      </c>
      <c r="AO2" s="33">
        <v>2</v>
      </c>
      <c r="AP2" s="33">
        <v>6</v>
      </c>
      <c r="AQ2" s="33">
        <v>7</v>
      </c>
      <c r="AR2" s="33">
        <v>2</v>
      </c>
      <c r="AS2" s="33">
        <v>6</v>
      </c>
      <c r="AT2" s="33">
        <v>5</v>
      </c>
      <c r="AU2" s="42">
        <v>4</v>
      </c>
      <c r="AV2" s="33">
        <v>9</v>
      </c>
      <c r="AW2" s="20">
        <v>8</v>
      </c>
      <c r="AX2" s="20">
        <v>7</v>
      </c>
      <c r="AY2" s="45">
        <v>7</v>
      </c>
      <c r="AZ2" s="20">
        <v>5</v>
      </c>
    </row>
    <row r="3" spans="1:52" x14ac:dyDescent="0.35">
      <c r="A3" s="29" t="s">
        <v>49</v>
      </c>
      <c r="B3" s="75">
        <v>6</v>
      </c>
      <c r="C3" s="33">
        <v>6</v>
      </c>
      <c r="D3" s="33">
        <v>7</v>
      </c>
      <c r="E3" s="33">
        <v>7</v>
      </c>
      <c r="F3" s="33">
        <v>7</v>
      </c>
      <c r="G3" s="33">
        <v>6</v>
      </c>
      <c r="H3" s="33">
        <v>8</v>
      </c>
      <c r="I3" s="33">
        <v>4</v>
      </c>
      <c r="J3" s="33">
        <v>4</v>
      </c>
      <c r="K3" s="33">
        <v>8</v>
      </c>
      <c r="L3" s="33">
        <v>4</v>
      </c>
      <c r="M3" s="33">
        <v>6</v>
      </c>
      <c r="N3" s="33">
        <v>8</v>
      </c>
      <c r="O3" s="33">
        <v>6</v>
      </c>
      <c r="P3" s="33">
        <v>6</v>
      </c>
      <c r="Q3" s="33">
        <v>6</v>
      </c>
      <c r="R3" s="33">
        <v>6</v>
      </c>
      <c r="S3" s="33">
        <v>7</v>
      </c>
      <c r="T3" s="33">
        <v>6</v>
      </c>
      <c r="U3" s="33">
        <v>4</v>
      </c>
      <c r="V3" s="33">
        <v>3</v>
      </c>
      <c r="W3" s="33">
        <v>3</v>
      </c>
      <c r="X3" s="33">
        <v>3</v>
      </c>
      <c r="Y3" s="33">
        <v>3</v>
      </c>
      <c r="Z3" s="33">
        <v>6</v>
      </c>
      <c r="AA3" s="33">
        <v>6</v>
      </c>
      <c r="AB3" s="33">
        <v>5</v>
      </c>
      <c r="AC3" s="33">
        <v>6</v>
      </c>
      <c r="AD3" s="33">
        <v>3</v>
      </c>
      <c r="AE3" s="33">
        <v>1</v>
      </c>
      <c r="AF3" s="33">
        <v>1</v>
      </c>
      <c r="AG3" s="33">
        <v>1</v>
      </c>
      <c r="AH3" s="33">
        <v>1</v>
      </c>
      <c r="AI3" s="33">
        <v>4</v>
      </c>
      <c r="AJ3" s="33">
        <v>1</v>
      </c>
      <c r="AK3" s="33">
        <v>1</v>
      </c>
      <c r="AL3" s="33">
        <v>1</v>
      </c>
      <c r="AM3" s="33">
        <v>6</v>
      </c>
      <c r="AN3" s="33">
        <v>4</v>
      </c>
      <c r="AO3" s="33">
        <v>4</v>
      </c>
      <c r="AP3" s="33">
        <v>4</v>
      </c>
      <c r="AQ3" s="33">
        <v>7</v>
      </c>
      <c r="AR3" s="33">
        <v>1</v>
      </c>
      <c r="AS3" s="33">
        <v>1</v>
      </c>
      <c r="AT3" s="33">
        <v>4</v>
      </c>
      <c r="AU3" s="42">
        <v>1</v>
      </c>
      <c r="AV3" s="33">
        <v>4</v>
      </c>
      <c r="AW3" s="20">
        <v>3</v>
      </c>
      <c r="AX3" s="20">
        <v>5</v>
      </c>
      <c r="AY3" s="45">
        <v>3</v>
      </c>
      <c r="AZ3" s="20">
        <v>5</v>
      </c>
    </row>
    <row r="4" spans="1:52" x14ac:dyDescent="0.35">
      <c r="A4" s="29" t="s">
        <v>50</v>
      </c>
      <c r="B4" s="76">
        <v>1</v>
      </c>
      <c r="C4" s="56">
        <v>1</v>
      </c>
      <c r="D4" s="56">
        <v>1</v>
      </c>
      <c r="E4" s="56">
        <v>1</v>
      </c>
      <c r="F4" s="56">
        <v>1</v>
      </c>
      <c r="G4" s="56">
        <v>1</v>
      </c>
      <c r="H4" s="56">
        <v>1</v>
      </c>
      <c r="I4" s="56">
        <v>1</v>
      </c>
      <c r="J4" s="56">
        <v>1</v>
      </c>
      <c r="K4" s="56">
        <v>1</v>
      </c>
      <c r="L4" s="56">
        <v>1</v>
      </c>
      <c r="M4" s="56">
        <v>1</v>
      </c>
      <c r="N4" s="56">
        <v>1</v>
      </c>
      <c r="O4" s="56">
        <v>1</v>
      </c>
      <c r="P4" s="56">
        <v>1</v>
      </c>
      <c r="Q4" s="56">
        <v>1</v>
      </c>
      <c r="R4" s="56">
        <v>1</v>
      </c>
      <c r="S4" s="56">
        <v>1</v>
      </c>
      <c r="T4" s="56">
        <v>1</v>
      </c>
      <c r="U4" s="56">
        <v>1</v>
      </c>
      <c r="V4" s="56">
        <v>1</v>
      </c>
      <c r="W4" s="56">
        <v>1</v>
      </c>
      <c r="X4" s="56">
        <v>1</v>
      </c>
      <c r="Y4" s="56">
        <v>1</v>
      </c>
      <c r="Z4" s="56">
        <v>1</v>
      </c>
      <c r="AA4" s="56">
        <v>1</v>
      </c>
      <c r="AB4" s="56">
        <v>1</v>
      </c>
      <c r="AC4" s="56">
        <v>1</v>
      </c>
      <c r="AD4" s="56">
        <v>1</v>
      </c>
      <c r="AE4" s="56">
        <v>1</v>
      </c>
      <c r="AF4" s="56">
        <v>1</v>
      </c>
      <c r="AG4" s="56">
        <v>1</v>
      </c>
      <c r="AH4" s="56">
        <v>1</v>
      </c>
      <c r="AI4" s="56">
        <v>1</v>
      </c>
      <c r="AJ4" s="56">
        <v>1</v>
      </c>
      <c r="AK4" s="56">
        <v>1</v>
      </c>
      <c r="AL4" s="56">
        <v>1</v>
      </c>
      <c r="AM4" s="56">
        <v>1</v>
      </c>
      <c r="AN4" s="56">
        <v>1</v>
      </c>
      <c r="AO4" s="56">
        <v>1</v>
      </c>
      <c r="AP4" s="56">
        <v>1</v>
      </c>
      <c r="AQ4" s="56">
        <v>1</v>
      </c>
      <c r="AR4" s="56">
        <v>1</v>
      </c>
      <c r="AS4" s="56">
        <v>1</v>
      </c>
      <c r="AT4" s="56">
        <v>1</v>
      </c>
      <c r="AU4" s="57">
        <v>1</v>
      </c>
      <c r="AV4" s="56"/>
      <c r="AW4" s="58"/>
      <c r="AX4" s="54"/>
      <c r="AY4" s="55"/>
      <c r="AZ4" s="54"/>
    </row>
    <row r="5" spans="1:52" x14ac:dyDescent="0.35">
      <c r="A5" s="29" t="s">
        <v>51</v>
      </c>
      <c r="B5" s="75">
        <v>8</v>
      </c>
      <c r="C5" s="33">
        <v>8</v>
      </c>
      <c r="D5" s="33">
        <v>8</v>
      </c>
      <c r="E5" s="33">
        <v>7</v>
      </c>
      <c r="F5" s="33">
        <v>8</v>
      </c>
      <c r="G5" s="33">
        <v>8</v>
      </c>
      <c r="H5" s="33">
        <v>8</v>
      </c>
      <c r="I5" s="33">
        <v>7</v>
      </c>
      <c r="J5" s="33">
        <v>8</v>
      </c>
      <c r="K5" s="33">
        <v>8</v>
      </c>
      <c r="L5" s="33">
        <v>4</v>
      </c>
      <c r="M5" s="33">
        <v>6</v>
      </c>
      <c r="N5" s="33">
        <v>8</v>
      </c>
      <c r="O5" s="33">
        <v>7</v>
      </c>
      <c r="P5" s="33">
        <v>7</v>
      </c>
      <c r="Q5" s="33">
        <v>8</v>
      </c>
      <c r="R5" s="33">
        <v>4</v>
      </c>
      <c r="S5" s="33">
        <v>6</v>
      </c>
      <c r="T5" s="33">
        <v>6</v>
      </c>
      <c r="U5" s="33">
        <v>4</v>
      </c>
      <c r="V5" s="33">
        <v>4</v>
      </c>
      <c r="W5" s="33">
        <v>7</v>
      </c>
      <c r="X5" s="33">
        <v>8</v>
      </c>
      <c r="Y5" s="33">
        <v>8</v>
      </c>
      <c r="Z5" s="33">
        <v>6</v>
      </c>
      <c r="AA5" s="33">
        <v>8</v>
      </c>
      <c r="AB5" s="33">
        <v>4</v>
      </c>
      <c r="AC5" s="33">
        <v>8</v>
      </c>
      <c r="AD5" s="33">
        <v>4</v>
      </c>
      <c r="AE5" s="33">
        <v>1</v>
      </c>
      <c r="AF5" s="33">
        <v>1</v>
      </c>
      <c r="AG5" s="33">
        <v>1</v>
      </c>
      <c r="AH5" s="33">
        <v>1</v>
      </c>
      <c r="AI5" s="33">
        <v>4</v>
      </c>
      <c r="AJ5" s="33">
        <v>4</v>
      </c>
      <c r="AK5" s="33">
        <v>4</v>
      </c>
      <c r="AL5" s="33">
        <v>3</v>
      </c>
      <c r="AM5" s="33">
        <v>7</v>
      </c>
      <c r="AN5" s="33">
        <v>7</v>
      </c>
      <c r="AO5" s="33">
        <v>2</v>
      </c>
      <c r="AP5" s="33">
        <v>5</v>
      </c>
      <c r="AQ5" s="33">
        <v>6</v>
      </c>
      <c r="AR5" s="33">
        <v>1</v>
      </c>
      <c r="AS5" s="33">
        <v>3</v>
      </c>
      <c r="AT5" s="33">
        <v>6</v>
      </c>
      <c r="AU5" s="42">
        <v>3</v>
      </c>
      <c r="AV5" s="33">
        <v>9</v>
      </c>
      <c r="AW5" s="20">
        <v>8</v>
      </c>
      <c r="AX5" s="20">
        <v>9</v>
      </c>
      <c r="AY5" s="45">
        <v>7</v>
      </c>
      <c r="AZ5" s="20">
        <v>6</v>
      </c>
    </row>
    <row r="6" spans="1:52" x14ac:dyDescent="0.35">
      <c r="A6" s="29" t="s">
        <v>52</v>
      </c>
      <c r="B6" s="75">
        <v>6</v>
      </c>
      <c r="C6" s="33">
        <v>7</v>
      </c>
      <c r="D6" s="33">
        <v>7</v>
      </c>
      <c r="E6" s="33">
        <v>7</v>
      </c>
      <c r="F6" s="33">
        <v>7</v>
      </c>
      <c r="G6" s="33">
        <v>7</v>
      </c>
      <c r="H6" s="33">
        <v>7</v>
      </c>
      <c r="I6" s="33">
        <v>6</v>
      </c>
      <c r="J6" s="33">
        <v>2</v>
      </c>
      <c r="K6" s="33">
        <v>4</v>
      </c>
      <c r="L6" s="33">
        <v>2</v>
      </c>
      <c r="M6" s="33">
        <v>2</v>
      </c>
      <c r="N6" s="33">
        <v>4</v>
      </c>
      <c r="O6" s="33">
        <v>4</v>
      </c>
      <c r="P6" s="33">
        <v>4</v>
      </c>
      <c r="Q6" s="33">
        <v>2</v>
      </c>
      <c r="R6" s="33">
        <v>4</v>
      </c>
      <c r="S6" s="33">
        <v>3</v>
      </c>
      <c r="T6" s="33">
        <v>2</v>
      </c>
      <c r="U6" s="33">
        <v>2</v>
      </c>
      <c r="V6" s="33">
        <v>2</v>
      </c>
      <c r="W6" s="33">
        <v>4</v>
      </c>
      <c r="X6" s="33">
        <v>4</v>
      </c>
      <c r="Y6" s="33">
        <v>1</v>
      </c>
      <c r="Z6" s="33">
        <v>3</v>
      </c>
      <c r="AA6" s="33">
        <v>2</v>
      </c>
      <c r="AB6" s="33">
        <v>1</v>
      </c>
      <c r="AC6" s="33">
        <v>3</v>
      </c>
      <c r="AD6" s="33">
        <v>5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3">
        <v>1</v>
      </c>
      <c r="AM6" s="33">
        <v>5</v>
      </c>
      <c r="AN6" s="33">
        <v>5</v>
      </c>
      <c r="AO6" s="33">
        <v>2</v>
      </c>
      <c r="AP6" s="33">
        <v>4</v>
      </c>
      <c r="AQ6" s="33">
        <v>6</v>
      </c>
      <c r="AR6" s="33">
        <v>1</v>
      </c>
      <c r="AS6" s="33">
        <v>1</v>
      </c>
      <c r="AT6" s="33">
        <v>5</v>
      </c>
      <c r="AU6" s="42">
        <v>1</v>
      </c>
      <c r="AV6" s="33">
        <v>4</v>
      </c>
      <c r="AW6" s="20">
        <v>6</v>
      </c>
      <c r="AX6" s="20">
        <v>7</v>
      </c>
      <c r="AY6" s="45">
        <v>3</v>
      </c>
      <c r="AZ6" s="20">
        <v>4</v>
      </c>
    </row>
    <row r="7" spans="1:52" x14ac:dyDescent="0.35">
      <c r="A7" s="29" t="s">
        <v>53</v>
      </c>
      <c r="B7" s="75">
        <v>4</v>
      </c>
      <c r="C7" s="33">
        <v>5</v>
      </c>
      <c r="D7" s="33">
        <v>7</v>
      </c>
      <c r="E7" s="33">
        <v>7</v>
      </c>
      <c r="F7" s="33">
        <v>7</v>
      </c>
      <c r="G7" s="34">
        <v>7</v>
      </c>
      <c r="H7" s="34">
        <v>7</v>
      </c>
      <c r="I7" s="34">
        <v>5</v>
      </c>
      <c r="J7" s="34">
        <v>3</v>
      </c>
      <c r="K7" s="34">
        <v>4</v>
      </c>
      <c r="L7" s="34">
        <v>5</v>
      </c>
      <c r="M7" s="34">
        <v>4</v>
      </c>
      <c r="N7" s="34">
        <v>5</v>
      </c>
      <c r="O7" s="34">
        <v>3</v>
      </c>
      <c r="P7" s="34">
        <v>2</v>
      </c>
      <c r="Q7" s="34">
        <v>2</v>
      </c>
      <c r="R7" s="34">
        <v>3</v>
      </c>
      <c r="S7" s="34">
        <v>3</v>
      </c>
      <c r="T7" s="34">
        <v>2</v>
      </c>
      <c r="U7" s="34">
        <v>4</v>
      </c>
      <c r="V7" s="34">
        <v>1</v>
      </c>
      <c r="W7" s="34">
        <v>1</v>
      </c>
      <c r="X7" s="34">
        <v>1</v>
      </c>
      <c r="Y7" s="34">
        <v>3</v>
      </c>
      <c r="Z7" s="34">
        <v>3</v>
      </c>
      <c r="AA7" s="34">
        <v>5</v>
      </c>
      <c r="AB7" s="34">
        <v>2</v>
      </c>
      <c r="AC7" s="34">
        <v>2</v>
      </c>
      <c r="AD7" s="34">
        <v>1</v>
      </c>
      <c r="AE7" s="34">
        <v>1</v>
      </c>
      <c r="AF7" s="34">
        <v>1</v>
      </c>
      <c r="AG7" s="34">
        <v>1</v>
      </c>
      <c r="AH7" s="34">
        <v>1</v>
      </c>
      <c r="AI7" s="34">
        <v>5</v>
      </c>
      <c r="AJ7" s="34">
        <v>4</v>
      </c>
      <c r="AK7" s="34">
        <v>2</v>
      </c>
      <c r="AL7" s="34">
        <v>1</v>
      </c>
      <c r="AM7" s="34">
        <v>2</v>
      </c>
      <c r="AN7" s="34">
        <v>1</v>
      </c>
      <c r="AO7" s="34">
        <v>3</v>
      </c>
      <c r="AP7" s="34">
        <v>4</v>
      </c>
      <c r="AQ7" s="34">
        <v>7</v>
      </c>
      <c r="AR7" s="34">
        <v>4</v>
      </c>
      <c r="AS7" s="34">
        <v>1</v>
      </c>
      <c r="AT7" s="34">
        <v>5</v>
      </c>
      <c r="AU7" s="43">
        <v>1</v>
      </c>
      <c r="AV7" s="34">
        <v>4</v>
      </c>
      <c r="AW7" s="20">
        <v>5</v>
      </c>
      <c r="AX7" s="20">
        <v>6</v>
      </c>
      <c r="AY7" s="45">
        <v>1</v>
      </c>
      <c r="AZ7" s="20">
        <v>2</v>
      </c>
    </row>
    <row r="8" spans="1:52" x14ac:dyDescent="0.35">
      <c r="A8" s="29" t="s">
        <v>54</v>
      </c>
      <c r="B8" s="75">
        <v>7</v>
      </c>
      <c r="C8" s="33">
        <v>8</v>
      </c>
      <c r="D8" s="33">
        <v>8</v>
      </c>
      <c r="E8" s="33">
        <v>8</v>
      </c>
      <c r="F8" s="33">
        <v>8</v>
      </c>
      <c r="G8" s="33">
        <v>8</v>
      </c>
      <c r="H8" s="33">
        <v>8</v>
      </c>
      <c r="I8" s="33">
        <v>8</v>
      </c>
      <c r="J8" s="33">
        <v>8</v>
      </c>
      <c r="K8" s="33">
        <v>8</v>
      </c>
      <c r="L8" s="33">
        <v>8</v>
      </c>
      <c r="M8" s="33">
        <v>8</v>
      </c>
      <c r="N8" s="33">
        <v>6</v>
      </c>
      <c r="O8" s="33">
        <v>7</v>
      </c>
      <c r="P8" s="33">
        <v>7</v>
      </c>
      <c r="Q8" s="33">
        <v>7</v>
      </c>
      <c r="R8" s="33">
        <v>8</v>
      </c>
      <c r="S8" s="33">
        <v>7</v>
      </c>
      <c r="T8" s="33">
        <v>3</v>
      </c>
      <c r="U8" s="33">
        <v>5</v>
      </c>
      <c r="V8" s="33">
        <v>5</v>
      </c>
      <c r="W8" s="33">
        <v>5</v>
      </c>
      <c r="X8" s="33">
        <v>4</v>
      </c>
      <c r="Y8" s="33">
        <v>5</v>
      </c>
      <c r="Z8" s="33">
        <v>4</v>
      </c>
      <c r="AA8" s="33">
        <v>7</v>
      </c>
      <c r="AB8" s="33">
        <v>6</v>
      </c>
      <c r="AC8" s="33">
        <v>6</v>
      </c>
      <c r="AD8" s="34">
        <v>4</v>
      </c>
      <c r="AE8" s="34">
        <v>5</v>
      </c>
      <c r="AF8" s="34">
        <v>1</v>
      </c>
      <c r="AG8" s="34">
        <v>1</v>
      </c>
      <c r="AH8" s="34">
        <v>1</v>
      </c>
      <c r="AI8" s="34">
        <v>5</v>
      </c>
      <c r="AJ8" s="34">
        <v>5</v>
      </c>
      <c r="AK8" s="34">
        <v>1</v>
      </c>
      <c r="AL8" s="34">
        <v>5</v>
      </c>
      <c r="AM8" s="34">
        <v>6</v>
      </c>
      <c r="AN8" s="34">
        <v>5</v>
      </c>
      <c r="AO8" s="34">
        <v>5</v>
      </c>
      <c r="AP8" s="34">
        <v>6</v>
      </c>
      <c r="AQ8" s="34">
        <v>7</v>
      </c>
      <c r="AR8" s="34">
        <v>3</v>
      </c>
      <c r="AS8" s="34">
        <v>5</v>
      </c>
      <c r="AT8" s="34">
        <v>5</v>
      </c>
      <c r="AU8" s="43">
        <v>5</v>
      </c>
      <c r="AV8" s="34">
        <v>8</v>
      </c>
      <c r="AW8" s="20">
        <v>7</v>
      </c>
      <c r="AX8" s="20">
        <v>9</v>
      </c>
      <c r="AY8" s="45">
        <v>3</v>
      </c>
      <c r="AZ8" s="20">
        <v>5</v>
      </c>
    </row>
    <row r="9" spans="1:52" x14ac:dyDescent="0.35">
      <c r="A9" s="29" t="s">
        <v>55</v>
      </c>
      <c r="B9" s="75">
        <v>8</v>
      </c>
      <c r="C9" s="33">
        <v>8</v>
      </c>
      <c r="D9" s="33">
        <v>8</v>
      </c>
      <c r="E9" s="33">
        <v>7</v>
      </c>
      <c r="F9" s="33">
        <v>8</v>
      </c>
      <c r="G9" s="33">
        <v>8</v>
      </c>
      <c r="H9" s="33">
        <v>8</v>
      </c>
      <c r="I9" s="33">
        <v>8</v>
      </c>
      <c r="J9" s="33">
        <v>7</v>
      </c>
      <c r="K9" s="33">
        <v>8</v>
      </c>
      <c r="L9" s="33">
        <v>8</v>
      </c>
      <c r="M9" s="33">
        <v>8</v>
      </c>
      <c r="N9" s="33">
        <v>8</v>
      </c>
      <c r="O9" s="33">
        <v>7</v>
      </c>
      <c r="P9" s="33">
        <v>5</v>
      </c>
      <c r="Q9" s="33">
        <v>5</v>
      </c>
      <c r="R9" s="33">
        <v>5</v>
      </c>
      <c r="S9" s="33">
        <v>5</v>
      </c>
      <c r="T9" s="33">
        <v>5</v>
      </c>
      <c r="U9" s="33">
        <v>5</v>
      </c>
      <c r="V9" s="33">
        <v>4</v>
      </c>
      <c r="W9" s="33">
        <v>3</v>
      </c>
      <c r="X9" s="33">
        <v>3</v>
      </c>
      <c r="Y9" s="33">
        <v>3</v>
      </c>
      <c r="Z9" s="33">
        <v>7</v>
      </c>
      <c r="AA9" s="33">
        <v>6</v>
      </c>
      <c r="AB9" s="33">
        <v>6</v>
      </c>
      <c r="AC9" s="33">
        <v>6</v>
      </c>
      <c r="AD9" s="33">
        <v>1</v>
      </c>
      <c r="AE9" s="33">
        <v>7</v>
      </c>
      <c r="AF9" s="33">
        <v>7</v>
      </c>
      <c r="AG9" s="33">
        <v>7</v>
      </c>
      <c r="AH9" s="33">
        <v>7</v>
      </c>
      <c r="AI9" s="33">
        <v>7</v>
      </c>
      <c r="AJ9" s="33">
        <v>7</v>
      </c>
      <c r="AK9" s="33">
        <v>7</v>
      </c>
      <c r="AL9" s="33">
        <v>4</v>
      </c>
      <c r="AM9" s="33">
        <v>5</v>
      </c>
      <c r="AN9" s="33">
        <v>5</v>
      </c>
      <c r="AO9" s="33">
        <v>4</v>
      </c>
      <c r="AP9" s="33">
        <v>8</v>
      </c>
      <c r="AQ9" s="33">
        <v>8</v>
      </c>
      <c r="AR9" s="33">
        <v>5</v>
      </c>
      <c r="AS9" s="33">
        <v>5</v>
      </c>
      <c r="AT9" s="33">
        <v>5</v>
      </c>
      <c r="AU9" s="42">
        <v>5</v>
      </c>
      <c r="AV9" s="34">
        <v>5</v>
      </c>
      <c r="AW9" s="20">
        <v>6</v>
      </c>
      <c r="AX9" s="20">
        <v>5</v>
      </c>
      <c r="AY9" s="45">
        <v>3</v>
      </c>
      <c r="AZ9" s="20">
        <v>2</v>
      </c>
    </row>
    <row r="10" spans="1:52" x14ac:dyDescent="0.35">
      <c r="A10" s="29" t="s">
        <v>56</v>
      </c>
      <c r="B10" s="75">
        <v>7</v>
      </c>
      <c r="C10" s="33">
        <v>8</v>
      </c>
      <c r="D10" s="33">
        <v>8</v>
      </c>
      <c r="E10" s="33">
        <v>7</v>
      </c>
      <c r="F10" s="33">
        <v>8</v>
      </c>
      <c r="G10" s="33">
        <v>8</v>
      </c>
      <c r="H10" s="33">
        <v>9</v>
      </c>
      <c r="I10" s="33">
        <v>9</v>
      </c>
      <c r="J10" s="33">
        <v>7</v>
      </c>
      <c r="K10" s="33">
        <v>7</v>
      </c>
      <c r="L10" s="33">
        <v>6</v>
      </c>
      <c r="M10" s="33">
        <v>7</v>
      </c>
      <c r="N10" s="33">
        <v>7</v>
      </c>
      <c r="O10" s="33">
        <v>7</v>
      </c>
      <c r="P10" s="33">
        <v>7</v>
      </c>
      <c r="Q10" s="33">
        <v>4</v>
      </c>
      <c r="R10" s="33">
        <v>9</v>
      </c>
      <c r="S10" s="33">
        <v>6</v>
      </c>
      <c r="T10" s="33">
        <v>2</v>
      </c>
      <c r="U10" s="33">
        <v>2</v>
      </c>
      <c r="V10" s="33">
        <v>2</v>
      </c>
      <c r="W10" s="33">
        <v>6</v>
      </c>
      <c r="X10" s="33">
        <v>5</v>
      </c>
      <c r="Y10" s="33">
        <v>1</v>
      </c>
      <c r="Z10" s="33">
        <v>4</v>
      </c>
      <c r="AA10" s="33">
        <v>8</v>
      </c>
      <c r="AB10" s="33">
        <v>1</v>
      </c>
      <c r="AC10" s="33">
        <v>1</v>
      </c>
      <c r="AD10" s="33">
        <v>7</v>
      </c>
      <c r="AE10" s="33">
        <v>1</v>
      </c>
      <c r="AF10" s="33">
        <v>1</v>
      </c>
      <c r="AG10" s="33">
        <v>1</v>
      </c>
      <c r="AH10" s="33">
        <v>1</v>
      </c>
      <c r="AI10" s="33">
        <v>7</v>
      </c>
      <c r="AJ10" s="33">
        <v>1</v>
      </c>
      <c r="AK10" s="33">
        <v>1</v>
      </c>
      <c r="AL10" s="33">
        <v>4</v>
      </c>
      <c r="AM10" s="33">
        <v>7</v>
      </c>
      <c r="AN10" s="33">
        <v>6</v>
      </c>
      <c r="AO10" s="33">
        <v>5</v>
      </c>
      <c r="AP10" s="33">
        <v>7</v>
      </c>
      <c r="AQ10" s="33">
        <v>8</v>
      </c>
      <c r="AR10" s="33">
        <v>4</v>
      </c>
      <c r="AS10" s="33">
        <v>1</v>
      </c>
      <c r="AT10" s="33">
        <v>7</v>
      </c>
      <c r="AU10" s="42">
        <v>1</v>
      </c>
      <c r="AV10" s="33">
        <v>8</v>
      </c>
      <c r="AW10" s="20">
        <v>7</v>
      </c>
      <c r="AX10" s="20">
        <v>9</v>
      </c>
      <c r="AY10" s="45">
        <v>5</v>
      </c>
      <c r="AZ10" s="20">
        <v>7</v>
      </c>
    </row>
    <row r="11" spans="1:52" x14ac:dyDescent="0.35">
      <c r="A11" s="29" t="s">
        <v>57</v>
      </c>
      <c r="B11" s="75">
        <v>6</v>
      </c>
      <c r="C11" s="33">
        <v>8</v>
      </c>
      <c r="D11" s="33">
        <v>8</v>
      </c>
      <c r="E11" s="33">
        <v>8</v>
      </c>
      <c r="F11" s="33">
        <v>8</v>
      </c>
      <c r="G11" s="33">
        <v>8</v>
      </c>
      <c r="H11" s="33">
        <v>8</v>
      </c>
      <c r="I11" s="33">
        <v>4</v>
      </c>
      <c r="J11" s="33">
        <v>8</v>
      </c>
      <c r="K11" s="33">
        <v>8</v>
      </c>
      <c r="L11" s="33">
        <v>6</v>
      </c>
      <c r="M11" s="33">
        <v>8</v>
      </c>
      <c r="N11" s="33">
        <v>8</v>
      </c>
      <c r="O11" s="33">
        <v>7</v>
      </c>
      <c r="P11" s="33">
        <v>8</v>
      </c>
      <c r="Q11" s="33">
        <v>4</v>
      </c>
      <c r="R11" s="33">
        <v>6</v>
      </c>
      <c r="S11" s="33">
        <v>6</v>
      </c>
      <c r="T11" s="33">
        <v>2</v>
      </c>
      <c r="U11" s="33">
        <v>2</v>
      </c>
      <c r="V11" s="33">
        <v>2</v>
      </c>
      <c r="W11" s="33">
        <v>4</v>
      </c>
      <c r="X11" s="33">
        <v>6</v>
      </c>
      <c r="Y11" s="33">
        <v>8</v>
      </c>
      <c r="Z11" s="33">
        <v>8</v>
      </c>
      <c r="AA11" s="33">
        <v>6</v>
      </c>
      <c r="AB11" s="33">
        <v>4</v>
      </c>
      <c r="AC11" s="33">
        <v>7</v>
      </c>
      <c r="AD11" s="33">
        <v>6</v>
      </c>
      <c r="AE11" s="33">
        <v>1</v>
      </c>
      <c r="AF11" s="33">
        <v>1</v>
      </c>
      <c r="AG11" s="33">
        <v>1</v>
      </c>
      <c r="AH11" s="33">
        <v>1</v>
      </c>
      <c r="AI11" s="33">
        <v>4</v>
      </c>
      <c r="AJ11" s="33">
        <v>4</v>
      </c>
      <c r="AK11" s="33">
        <v>4</v>
      </c>
      <c r="AL11" s="33">
        <v>4</v>
      </c>
      <c r="AM11" s="33">
        <v>8</v>
      </c>
      <c r="AN11" s="33">
        <v>6</v>
      </c>
      <c r="AO11" s="33">
        <v>4</v>
      </c>
      <c r="AP11" s="33">
        <v>8</v>
      </c>
      <c r="AQ11" s="33">
        <v>8</v>
      </c>
      <c r="AR11" s="33">
        <v>2</v>
      </c>
      <c r="AS11" s="33">
        <v>2</v>
      </c>
      <c r="AT11" s="33">
        <v>6</v>
      </c>
      <c r="AU11" s="42">
        <v>2</v>
      </c>
      <c r="AV11" s="33">
        <v>5</v>
      </c>
      <c r="AW11" s="20">
        <v>7</v>
      </c>
      <c r="AX11" s="20">
        <v>5</v>
      </c>
      <c r="AY11" s="45">
        <v>4</v>
      </c>
      <c r="AZ11" s="20">
        <v>5</v>
      </c>
    </row>
    <row r="12" spans="1:52" x14ac:dyDescent="0.35">
      <c r="A12" s="29" t="s">
        <v>58</v>
      </c>
      <c r="B12" s="75">
        <v>6</v>
      </c>
      <c r="C12" s="33">
        <v>7</v>
      </c>
      <c r="D12" s="33">
        <v>8</v>
      </c>
      <c r="E12" s="33">
        <v>8</v>
      </c>
      <c r="F12" s="33">
        <v>8</v>
      </c>
      <c r="G12" s="33">
        <v>8</v>
      </c>
      <c r="H12" s="33">
        <v>8</v>
      </c>
      <c r="I12" s="33">
        <v>1</v>
      </c>
      <c r="J12" s="33">
        <v>4</v>
      </c>
      <c r="K12" s="33">
        <v>5</v>
      </c>
      <c r="L12" s="33">
        <v>1</v>
      </c>
      <c r="M12" s="33">
        <v>5</v>
      </c>
      <c r="N12" s="33">
        <v>7</v>
      </c>
      <c r="O12" s="33">
        <v>3</v>
      </c>
      <c r="P12" s="33">
        <v>1</v>
      </c>
      <c r="Q12" s="33">
        <v>4</v>
      </c>
      <c r="R12" s="33">
        <v>6</v>
      </c>
      <c r="S12" s="33">
        <v>4</v>
      </c>
      <c r="T12" s="33">
        <v>1</v>
      </c>
      <c r="U12" s="33">
        <v>1</v>
      </c>
      <c r="V12" s="33">
        <v>1</v>
      </c>
      <c r="W12" s="33">
        <v>1</v>
      </c>
      <c r="X12" s="33">
        <v>7</v>
      </c>
      <c r="Y12" s="33">
        <v>7</v>
      </c>
      <c r="Z12" s="33">
        <v>4</v>
      </c>
      <c r="AA12" s="33">
        <v>7</v>
      </c>
      <c r="AB12" s="33">
        <v>1</v>
      </c>
      <c r="AC12" s="33">
        <v>4</v>
      </c>
      <c r="AD12" s="33">
        <v>7</v>
      </c>
      <c r="AE12" s="33">
        <v>1</v>
      </c>
      <c r="AF12" s="33">
        <v>1</v>
      </c>
      <c r="AG12" s="33">
        <v>1</v>
      </c>
      <c r="AH12" s="33">
        <v>1</v>
      </c>
      <c r="AI12" s="33">
        <v>4</v>
      </c>
      <c r="AJ12" s="33">
        <v>4</v>
      </c>
      <c r="AK12" s="33">
        <v>1</v>
      </c>
      <c r="AL12" s="33">
        <v>2</v>
      </c>
      <c r="AM12" s="33">
        <v>4</v>
      </c>
      <c r="AN12" s="33">
        <v>6</v>
      </c>
      <c r="AO12" s="33">
        <v>6</v>
      </c>
      <c r="AP12" s="33">
        <v>6</v>
      </c>
      <c r="AQ12" s="33">
        <v>6</v>
      </c>
      <c r="AR12" s="33">
        <v>1</v>
      </c>
      <c r="AS12" s="33">
        <v>1</v>
      </c>
      <c r="AT12" s="33">
        <v>6</v>
      </c>
      <c r="AU12" s="42">
        <v>1</v>
      </c>
      <c r="AV12" s="33">
        <v>8</v>
      </c>
      <c r="AW12" s="20">
        <v>7</v>
      </c>
      <c r="AX12" s="20">
        <v>8</v>
      </c>
      <c r="AY12" s="45">
        <v>7</v>
      </c>
      <c r="AZ12" s="20">
        <v>7</v>
      </c>
    </row>
    <row r="13" spans="1:52" x14ac:dyDescent="0.35">
      <c r="A13" s="29" t="s">
        <v>59</v>
      </c>
      <c r="B13" s="75">
        <v>6</v>
      </c>
      <c r="C13" s="33">
        <v>6</v>
      </c>
      <c r="D13" s="33">
        <v>8</v>
      </c>
      <c r="E13" s="33">
        <v>8</v>
      </c>
      <c r="F13" s="33">
        <v>8</v>
      </c>
      <c r="G13" s="33">
        <v>8</v>
      </c>
      <c r="H13" s="33">
        <v>8</v>
      </c>
      <c r="I13" s="33">
        <v>3</v>
      </c>
      <c r="J13" s="33">
        <v>7</v>
      </c>
      <c r="K13" s="33">
        <v>8</v>
      </c>
      <c r="L13" s="33">
        <v>7</v>
      </c>
      <c r="M13" s="33">
        <v>8</v>
      </c>
      <c r="N13" s="33">
        <v>8</v>
      </c>
      <c r="O13" s="33">
        <v>8</v>
      </c>
      <c r="P13" s="33">
        <v>5</v>
      </c>
      <c r="Q13" s="33">
        <v>4</v>
      </c>
      <c r="R13" s="33">
        <v>6</v>
      </c>
      <c r="S13" s="33">
        <v>6</v>
      </c>
      <c r="T13" s="33">
        <v>4</v>
      </c>
      <c r="U13" s="33">
        <v>6</v>
      </c>
      <c r="V13" s="33">
        <v>4</v>
      </c>
      <c r="W13" s="33">
        <v>4</v>
      </c>
      <c r="X13" s="33">
        <v>7</v>
      </c>
      <c r="Y13" s="33">
        <v>8</v>
      </c>
      <c r="Z13" s="33">
        <v>8</v>
      </c>
      <c r="AA13" s="33">
        <v>4</v>
      </c>
      <c r="AB13" s="33">
        <v>2</v>
      </c>
      <c r="AC13" s="33">
        <v>2</v>
      </c>
      <c r="AD13" s="33">
        <v>7</v>
      </c>
      <c r="AE13" s="33">
        <v>1</v>
      </c>
      <c r="AF13" s="33">
        <v>1</v>
      </c>
      <c r="AG13" s="33">
        <v>1</v>
      </c>
      <c r="AH13" s="33">
        <v>1</v>
      </c>
      <c r="AI13" s="33">
        <v>3</v>
      </c>
      <c r="AJ13" s="33">
        <v>3</v>
      </c>
      <c r="AK13" s="33">
        <v>1</v>
      </c>
      <c r="AL13" s="33">
        <v>2</v>
      </c>
      <c r="AM13" s="33">
        <v>5</v>
      </c>
      <c r="AN13" s="33">
        <v>2</v>
      </c>
      <c r="AO13" s="33">
        <v>5</v>
      </c>
      <c r="AP13" s="33">
        <v>8</v>
      </c>
      <c r="AQ13" s="33">
        <v>7</v>
      </c>
      <c r="AR13" s="33">
        <v>2</v>
      </c>
      <c r="AS13" s="33">
        <v>1</v>
      </c>
      <c r="AT13" s="33">
        <v>7</v>
      </c>
      <c r="AU13" s="42">
        <v>1</v>
      </c>
      <c r="AV13" s="33">
        <v>3</v>
      </c>
      <c r="AW13" s="20">
        <v>5</v>
      </c>
      <c r="AX13" s="20">
        <v>4</v>
      </c>
      <c r="AY13" s="45">
        <v>5</v>
      </c>
      <c r="AZ13" s="20">
        <v>8</v>
      </c>
    </row>
    <row r="14" spans="1:52" x14ac:dyDescent="0.35">
      <c r="A14" s="29" t="s">
        <v>60</v>
      </c>
      <c r="B14" s="75">
        <v>6</v>
      </c>
      <c r="C14" s="33">
        <v>7</v>
      </c>
      <c r="D14" s="33">
        <v>8</v>
      </c>
      <c r="E14" s="33">
        <v>8</v>
      </c>
      <c r="F14" s="33">
        <v>8</v>
      </c>
      <c r="G14" s="33">
        <v>8</v>
      </c>
      <c r="H14" s="33">
        <v>8</v>
      </c>
      <c r="I14" s="33">
        <v>6</v>
      </c>
      <c r="J14" s="33">
        <v>8</v>
      </c>
      <c r="K14" s="33">
        <v>8</v>
      </c>
      <c r="L14" s="33">
        <v>8</v>
      </c>
      <c r="M14" s="33">
        <v>4</v>
      </c>
      <c r="N14" s="33">
        <v>6</v>
      </c>
      <c r="O14" s="33">
        <v>7</v>
      </c>
      <c r="P14" s="33">
        <v>7</v>
      </c>
      <c r="Q14" s="33">
        <v>5</v>
      </c>
      <c r="R14" s="33">
        <v>8</v>
      </c>
      <c r="S14" s="33">
        <v>9</v>
      </c>
      <c r="T14" s="33">
        <v>7</v>
      </c>
      <c r="U14" s="33">
        <v>4</v>
      </c>
      <c r="V14" s="33">
        <v>6</v>
      </c>
      <c r="W14" s="33">
        <v>4</v>
      </c>
      <c r="X14" s="33">
        <v>6</v>
      </c>
      <c r="Y14" s="33">
        <v>6</v>
      </c>
      <c r="Z14" s="33">
        <v>6</v>
      </c>
      <c r="AA14" s="33">
        <v>6</v>
      </c>
      <c r="AB14" s="33">
        <v>4</v>
      </c>
      <c r="AC14" s="33">
        <v>6</v>
      </c>
      <c r="AD14" s="33">
        <v>6</v>
      </c>
      <c r="AE14" s="33">
        <v>4</v>
      </c>
      <c r="AF14" s="33">
        <v>4</v>
      </c>
      <c r="AG14" s="33">
        <v>4</v>
      </c>
      <c r="AH14" s="33">
        <v>4</v>
      </c>
      <c r="AI14" s="33">
        <v>4</v>
      </c>
      <c r="AJ14" s="33">
        <v>4</v>
      </c>
      <c r="AK14" s="33">
        <v>4</v>
      </c>
      <c r="AL14" s="33">
        <v>4</v>
      </c>
      <c r="AM14" s="33">
        <v>6</v>
      </c>
      <c r="AN14" s="33">
        <v>8</v>
      </c>
      <c r="AO14" s="33">
        <v>6</v>
      </c>
      <c r="AP14" s="33">
        <v>8</v>
      </c>
      <c r="AQ14" s="33">
        <v>8</v>
      </c>
      <c r="AR14" s="33">
        <v>4</v>
      </c>
      <c r="AS14" s="33">
        <v>6</v>
      </c>
      <c r="AT14" s="33">
        <v>6</v>
      </c>
      <c r="AU14" s="42">
        <v>4</v>
      </c>
      <c r="AV14" s="33">
        <v>5</v>
      </c>
      <c r="AW14" s="20">
        <v>5</v>
      </c>
      <c r="AX14" s="20">
        <v>6</v>
      </c>
      <c r="AY14" s="45">
        <v>5</v>
      </c>
      <c r="AZ14" s="20">
        <v>6</v>
      </c>
    </row>
    <row r="15" spans="1:52" x14ac:dyDescent="0.35">
      <c r="A15" s="29" t="s">
        <v>61</v>
      </c>
      <c r="B15" s="75">
        <v>5</v>
      </c>
      <c r="C15" s="33">
        <v>6</v>
      </c>
      <c r="D15" s="33">
        <v>7</v>
      </c>
      <c r="E15" s="33">
        <v>7</v>
      </c>
      <c r="F15" s="33">
        <v>8</v>
      </c>
      <c r="G15" s="33">
        <v>8</v>
      </c>
      <c r="H15" s="33">
        <v>9</v>
      </c>
      <c r="I15" s="33">
        <v>1</v>
      </c>
      <c r="J15" s="33">
        <v>3</v>
      </c>
      <c r="K15" s="33">
        <v>7</v>
      </c>
      <c r="L15" s="33">
        <v>7</v>
      </c>
      <c r="M15" s="33">
        <v>4</v>
      </c>
      <c r="N15" s="33">
        <v>7</v>
      </c>
      <c r="O15" s="33">
        <v>7</v>
      </c>
      <c r="P15" s="33">
        <v>4</v>
      </c>
      <c r="Q15" s="33">
        <v>5</v>
      </c>
      <c r="R15" s="33">
        <v>9</v>
      </c>
      <c r="S15" s="33">
        <v>7</v>
      </c>
      <c r="T15" s="33">
        <v>5</v>
      </c>
      <c r="U15" s="33">
        <v>5</v>
      </c>
      <c r="V15" s="33">
        <v>4</v>
      </c>
      <c r="W15" s="33">
        <v>1</v>
      </c>
      <c r="X15" s="33">
        <v>6</v>
      </c>
      <c r="Y15" s="33">
        <v>6</v>
      </c>
      <c r="Z15" s="33">
        <v>6</v>
      </c>
      <c r="AA15" s="33">
        <v>4</v>
      </c>
      <c r="AB15" s="33">
        <v>3</v>
      </c>
      <c r="AC15" s="33">
        <v>3</v>
      </c>
      <c r="AD15" s="33">
        <v>8</v>
      </c>
      <c r="AE15" s="33">
        <v>1</v>
      </c>
      <c r="AF15" s="33">
        <v>2</v>
      </c>
      <c r="AG15" s="33">
        <v>1</v>
      </c>
      <c r="AH15" s="33">
        <v>3</v>
      </c>
      <c r="AI15" s="33">
        <v>5</v>
      </c>
      <c r="AJ15" s="33">
        <v>4</v>
      </c>
      <c r="AK15" s="33">
        <v>1</v>
      </c>
      <c r="AL15" s="33">
        <v>4</v>
      </c>
      <c r="AM15" s="33">
        <v>2</v>
      </c>
      <c r="AN15" s="33">
        <v>3</v>
      </c>
      <c r="AO15" s="33">
        <v>6</v>
      </c>
      <c r="AP15" s="33">
        <v>8</v>
      </c>
      <c r="AQ15" s="33">
        <v>8</v>
      </c>
      <c r="AR15" s="33">
        <v>1</v>
      </c>
      <c r="AS15" s="33">
        <v>1</v>
      </c>
      <c r="AT15" s="33">
        <v>7</v>
      </c>
      <c r="AU15" s="42">
        <v>1</v>
      </c>
      <c r="AV15" s="33">
        <v>1</v>
      </c>
      <c r="AW15" s="20">
        <v>4</v>
      </c>
      <c r="AX15" s="20">
        <v>3</v>
      </c>
      <c r="AY15" s="45">
        <v>4</v>
      </c>
      <c r="AZ15" s="20">
        <v>6</v>
      </c>
    </row>
    <row r="16" spans="1:52" x14ac:dyDescent="0.35">
      <c r="A16" s="29" t="s">
        <v>62</v>
      </c>
      <c r="B16" s="75">
        <v>6</v>
      </c>
      <c r="C16" s="33">
        <v>8</v>
      </c>
      <c r="D16" s="33">
        <v>8</v>
      </c>
      <c r="E16" s="33">
        <v>8</v>
      </c>
      <c r="F16" s="33">
        <v>8</v>
      </c>
      <c r="G16" s="33">
        <v>7</v>
      </c>
      <c r="H16" s="33">
        <v>9</v>
      </c>
      <c r="I16" s="33">
        <v>1</v>
      </c>
      <c r="J16" s="33">
        <v>5</v>
      </c>
      <c r="K16" s="33">
        <v>8</v>
      </c>
      <c r="L16" s="33">
        <v>8</v>
      </c>
      <c r="M16" s="33">
        <v>4</v>
      </c>
      <c r="N16" s="33">
        <v>7</v>
      </c>
      <c r="O16" s="33">
        <v>4</v>
      </c>
      <c r="P16" s="33">
        <v>4</v>
      </c>
      <c r="Q16" s="33">
        <v>4</v>
      </c>
      <c r="R16" s="33">
        <v>5</v>
      </c>
      <c r="S16" s="33">
        <v>5</v>
      </c>
      <c r="T16" s="33">
        <v>8</v>
      </c>
      <c r="U16" s="33">
        <v>5</v>
      </c>
      <c r="V16" s="33">
        <v>9</v>
      </c>
      <c r="W16" s="33">
        <v>6</v>
      </c>
      <c r="X16" s="33">
        <v>7</v>
      </c>
      <c r="Y16" s="33">
        <v>1</v>
      </c>
      <c r="Z16" s="33">
        <v>5</v>
      </c>
      <c r="AA16" s="33">
        <v>8</v>
      </c>
      <c r="AB16" s="33">
        <v>5</v>
      </c>
      <c r="AC16" s="33">
        <v>7</v>
      </c>
      <c r="AD16" s="33">
        <v>6</v>
      </c>
      <c r="AE16" s="33">
        <v>1</v>
      </c>
      <c r="AF16" s="33">
        <v>1</v>
      </c>
      <c r="AG16" s="33">
        <v>1</v>
      </c>
      <c r="AH16" s="33">
        <v>1</v>
      </c>
      <c r="AI16" s="33">
        <v>6</v>
      </c>
      <c r="AJ16" s="33">
        <v>6</v>
      </c>
      <c r="AK16" s="33">
        <v>6</v>
      </c>
      <c r="AL16" s="33">
        <v>6</v>
      </c>
      <c r="AM16" s="33">
        <v>7</v>
      </c>
      <c r="AN16" s="33">
        <v>4</v>
      </c>
      <c r="AO16" s="33">
        <v>7</v>
      </c>
      <c r="AP16" s="33">
        <v>8</v>
      </c>
      <c r="AQ16" s="33">
        <v>8</v>
      </c>
      <c r="AR16" s="33">
        <v>4</v>
      </c>
      <c r="AS16" s="33">
        <v>3</v>
      </c>
      <c r="AT16" s="33">
        <v>7</v>
      </c>
      <c r="AU16" s="42">
        <v>2</v>
      </c>
      <c r="AV16" s="33">
        <v>8</v>
      </c>
      <c r="AW16" s="20">
        <v>8</v>
      </c>
      <c r="AX16" s="20">
        <v>7</v>
      </c>
      <c r="AY16" s="45">
        <v>7</v>
      </c>
      <c r="AZ16" s="20">
        <v>8</v>
      </c>
    </row>
    <row r="17" spans="1:52" x14ac:dyDescent="0.35">
      <c r="A17" s="29" t="s">
        <v>63</v>
      </c>
      <c r="B17" s="75">
        <v>7</v>
      </c>
      <c r="C17" s="33">
        <v>9</v>
      </c>
      <c r="D17" s="33">
        <v>8</v>
      </c>
      <c r="E17" s="33">
        <v>8</v>
      </c>
      <c r="F17" s="33">
        <v>8</v>
      </c>
      <c r="G17" s="33">
        <v>7</v>
      </c>
      <c r="H17" s="33">
        <v>7</v>
      </c>
      <c r="I17" s="33">
        <v>6</v>
      </c>
      <c r="J17" s="33">
        <v>6</v>
      </c>
      <c r="K17" s="33">
        <v>6</v>
      </c>
      <c r="L17" s="33">
        <v>5</v>
      </c>
      <c r="M17" s="33">
        <v>6</v>
      </c>
      <c r="N17" s="33">
        <v>5</v>
      </c>
      <c r="O17" s="33">
        <v>7</v>
      </c>
      <c r="P17" s="33">
        <v>6</v>
      </c>
      <c r="Q17" s="33">
        <v>6</v>
      </c>
      <c r="R17" s="33">
        <v>6</v>
      </c>
      <c r="S17" s="33">
        <v>6</v>
      </c>
      <c r="T17" s="33">
        <v>8</v>
      </c>
      <c r="U17" s="33">
        <v>8</v>
      </c>
      <c r="V17" s="33">
        <v>7</v>
      </c>
      <c r="W17" s="33">
        <v>7</v>
      </c>
      <c r="X17" s="33">
        <v>7</v>
      </c>
      <c r="Y17" s="33">
        <v>7</v>
      </c>
      <c r="Z17" s="33">
        <v>6</v>
      </c>
      <c r="AA17" s="33">
        <v>7</v>
      </c>
      <c r="AB17" s="33">
        <v>7</v>
      </c>
      <c r="AC17" s="33">
        <v>7</v>
      </c>
      <c r="AD17" s="33">
        <v>6</v>
      </c>
      <c r="AE17" s="33">
        <v>6</v>
      </c>
      <c r="AF17" s="33">
        <v>6</v>
      </c>
      <c r="AG17" s="33">
        <v>6</v>
      </c>
      <c r="AH17" s="33">
        <v>5</v>
      </c>
      <c r="AI17" s="33">
        <v>5</v>
      </c>
      <c r="AJ17" s="33">
        <v>5</v>
      </c>
      <c r="AK17" s="33">
        <v>5</v>
      </c>
      <c r="AL17" s="33">
        <v>5</v>
      </c>
      <c r="AM17" s="33">
        <v>7</v>
      </c>
      <c r="AN17" s="33">
        <v>7</v>
      </c>
      <c r="AO17" s="33">
        <v>7</v>
      </c>
      <c r="AP17" s="33">
        <v>7</v>
      </c>
      <c r="AQ17" s="33">
        <v>7</v>
      </c>
      <c r="AR17" s="33">
        <v>5</v>
      </c>
      <c r="AS17" s="33">
        <v>5</v>
      </c>
      <c r="AT17" s="33">
        <v>5</v>
      </c>
      <c r="AU17" s="42">
        <v>5</v>
      </c>
      <c r="AV17" s="33">
        <v>7</v>
      </c>
      <c r="AW17" s="20">
        <v>7</v>
      </c>
      <c r="AX17" s="20">
        <v>7</v>
      </c>
      <c r="AY17" s="45">
        <v>7</v>
      </c>
      <c r="AZ17" s="20">
        <v>8</v>
      </c>
    </row>
    <row r="18" spans="1:52" x14ac:dyDescent="0.35">
      <c r="A18" s="29" t="s">
        <v>64</v>
      </c>
      <c r="B18" s="75">
        <v>5</v>
      </c>
      <c r="C18" s="33">
        <v>6</v>
      </c>
      <c r="D18" s="33">
        <v>7</v>
      </c>
      <c r="E18" s="33">
        <v>7</v>
      </c>
      <c r="F18" s="33">
        <v>7</v>
      </c>
      <c r="G18" s="33">
        <v>8</v>
      </c>
      <c r="H18" s="33">
        <v>7</v>
      </c>
      <c r="I18" s="33">
        <v>1</v>
      </c>
      <c r="J18" s="33">
        <v>4</v>
      </c>
      <c r="K18" s="33">
        <v>6</v>
      </c>
      <c r="L18" s="33">
        <v>2</v>
      </c>
      <c r="M18" s="33">
        <v>5</v>
      </c>
      <c r="N18" s="33">
        <v>6</v>
      </c>
      <c r="O18" s="33">
        <v>7</v>
      </c>
      <c r="P18" s="33">
        <v>3</v>
      </c>
      <c r="Q18" s="33">
        <v>4</v>
      </c>
      <c r="R18" s="33">
        <v>5</v>
      </c>
      <c r="S18" s="33">
        <v>7</v>
      </c>
      <c r="T18" s="33">
        <v>5</v>
      </c>
      <c r="U18" s="33">
        <v>3</v>
      </c>
      <c r="V18" s="33">
        <v>3</v>
      </c>
      <c r="W18" s="33">
        <v>7</v>
      </c>
      <c r="X18" s="33">
        <v>5</v>
      </c>
      <c r="Y18" s="33">
        <v>5</v>
      </c>
      <c r="Z18" s="33">
        <v>5</v>
      </c>
      <c r="AA18" s="33">
        <v>8</v>
      </c>
      <c r="AB18" s="33">
        <v>2</v>
      </c>
      <c r="AC18" s="33">
        <v>6</v>
      </c>
      <c r="AD18" s="33">
        <v>6</v>
      </c>
      <c r="AE18" s="33">
        <v>1</v>
      </c>
      <c r="AF18" s="33">
        <v>1</v>
      </c>
      <c r="AG18" s="33">
        <v>1</v>
      </c>
      <c r="AH18" s="33">
        <v>1</v>
      </c>
      <c r="AI18" s="33">
        <v>5</v>
      </c>
      <c r="AJ18" s="33">
        <v>3</v>
      </c>
      <c r="AK18" s="33">
        <v>3</v>
      </c>
      <c r="AL18" s="33">
        <v>5</v>
      </c>
      <c r="AM18" s="33">
        <v>6</v>
      </c>
      <c r="AN18" s="33">
        <v>3</v>
      </c>
      <c r="AO18" s="33">
        <v>8</v>
      </c>
      <c r="AP18" s="33">
        <v>6</v>
      </c>
      <c r="AQ18" s="33">
        <v>7</v>
      </c>
      <c r="AR18" s="33">
        <v>4</v>
      </c>
      <c r="AS18" s="33">
        <v>4</v>
      </c>
      <c r="AT18" s="33">
        <v>7</v>
      </c>
      <c r="AU18" s="42">
        <v>4</v>
      </c>
      <c r="AV18" s="33">
        <v>5</v>
      </c>
      <c r="AW18" s="20">
        <v>5</v>
      </c>
      <c r="AX18" s="20">
        <v>5</v>
      </c>
      <c r="AY18" s="45">
        <v>6</v>
      </c>
      <c r="AZ18" s="20">
        <v>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71A2-4A59-4BFA-BD2C-1F5E9BE8E509}">
  <sheetPr codeName="Sheet4"/>
  <dimension ref="A1:BA19"/>
  <sheetViews>
    <sheetView workbookViewId="0">
      <pane xSplit="1" topLeftCell="G1" activePane="topRight" state="frozen"/>
      <selection pane="topRight" activeCell="G2" sqref="G2"/>
    </sheetView>
  </sheetViews>
  <sheetFormatPr defaultRowHeight="14.5" x14ac:dyDescent="0.35"/>
  <cols>
    <col min="1" max="1" width="27.6328125" customWidth="1"/>
    <col min="2" max="2" width="23.90625" style="77" customWidth="1"/>
    <col min="3" max="3" width="13.36328125" bestFit="1" customWidth="1"/>
    <col min="8" max="8" width="32.7265625" bestFit="1" customWidth="1"/>
    <col min="19" max="19" width="8.08984375" bestFit="1" customWidth="1"/>
    <col min="52" max="52" width="23.08984375" customWidth="1"/>
    <col min="53" max="53" width="19.81640625" style="83" customWidth="1"/>
  </cols>
  <sheetData>
    <row r="1" spans="1:53" ht="101.5" x14ac:dyDescent="0.35">
      <c r="A1" s="23" t="s">
        <v>0</v>
      </c>
      <c r="B1" s="74" t="s">
        <v>2</v>
      </c>
      <c r="C1" s="23" t="s">
        <v>3</v>
      </c>
      <c r="D1" s="25" t="s">
        <v>244</v>
      </c>
      <c r="E1" s="25" t="s">
        <v>245</v>
      </c>
      <c r="F1" s="25" t="s">
        <v>246</v>
      </c>
      <c r="G1" s="25" t="s">
        <v>247</v>
      </c>
      <c r="H1" s="25" t="s">
        <v>265</v>
      </c>
      <c r="I1" s="25" t="s">
        <v>266</v>
      </c>
      <c r="J1" s="25" t="s">
        <v>267</v>
      </c>
      <c r="K1" s="25" t="s">
        <v>268</v>
      </c>
      <c r="L1" s="25" t="s">
        <v>248</v>
      </c>
      <c r="M1" s="25" t="s">
        <v>249</v>
      </c>
      <c r="N1" s="25" t="s">
        <v>269</v>
      </c>
      <c r="O1" s="25" t="s">
        <v>250</v>
      </c>
      <c r="P1" s="25" t="s">
        <v>251</v>
      </c>
      <c r="Q1" s="25" t="s">
        <v>270</v>
      </c>
      <c r="R1" s="25" t="s">
        <v>252</v>
      </c>
      <c r="S1" s="25" t="s">
        <v>271</v>
      </c>
      <c r="T1" s="25" t="s">
        <v>253</v>
      </c>
      <c r="U1" s="25" t="s">
        <v>254</v>
      </c>
      <c r="V1" s="25" t="s">
        <v>255</v>
      </c>
      <c r="W1" s="25" t="s">
        <v>256</v>
      </c>
      <c r="X1" s="25" t="s">
        <v>257</v>
      </c>
      <c r="Y1" s="25" t="s">
        <v>258</v>
      </c>
      <c r="Z1" s="25" t="s">
        <v>259</v>
      </c>
      <c r="AA1" s="25" t="s">
        <v>260</v>
      </c>
      <c r="AB1" s="25" t="s">
        <v>261</v>
      </c>
      <c r="AC1" s="25" t="s">
        <v>272</v>
      </c>
      <c r="AD1" s="25" t="s">
        <v>262</v>
      </c>
      <c r="AE1" s="30" t="s">
        <v>273</v>
      </c>
      <c r="AF1" s="30" t="s">
        <v>274</v>
      </c>
      <c r="AG1" s="30" t="s">
        <v>275</v>
      </c>
      <c r="AH1" s="30" t="s">
        <v>276</v>
      </c>
      <c r="AI1" s="30" t="s">
        <v>277</v>
      </c>
      <c r="AJ1" s="30" t="s">
        <v>278</v>
      </c>
      <c r="AK1" s="30" t="s">
        <v>279</v>
      </c>
      <c r="AL1" s="30" t="s">
        <v>280</v>
      </c>
      <c r="AM1" s="18" t="s">
        <v>23</v>
      </c>
      <c r="AN1" s="18" t="s">
        <v>24</v>
      </c>
      <c r="AO1" s="18" t="s">
        <v>25</v>
      </c>
      <c r="AP1" s="18" t="s">
        <v>26</v>
      </c>
      <c r="AQ1" s="18" t="s">
        <v>27</v>
      </c>
      <c r="AR1" s="18" t="s">
        <v>28</v>
      </c>
      <c r="AS1" s="18" t="s">
        <v>29</v>
      </c>
      <c r="AT1" s="18" t="s">
        <v>30</v>
      </c>
      <c r="AU1" s="22" t="s">
        <v>31</v>
      </c>
      <c r="AV1" s="25" t="s">
        <v>263</v>
      </c>
      <c r="AW1" s="25" t="s">
        <v>281</v>
      </c>
      <c r="AX1" s="25" t="s">
        <v>282</v>
      </c>
      <c r="AY1" s="25" t="s">
        <v>264</v>
      </c>
      <c r="AZ1" s="25" t="s">
        <v>283</v>
      </c>
      <c r="BA1" s="81" t="s">
        <v>284</v>
      </c>
    </row>
    <row r="2" spans="1:53" x14ac:dyDescent="0.35">
      <c r="A2" s="29" t="s">
        <v>48</v>
      </c>
      <c r="B2" s="75">
        <v>8</v>
      </c>
      <c r="C2" s="33">
        <v>8</v>
      </c>
      <c r="D2" s="33">
        <v>8</v>
      </c>
      <c r="E2" s="33">
        <v>6</v>
      </c>
      <c r="F2" s="33">
        <v>8</v>
      </c>
      <c r="G2" s="33">
        <v>6</v>
      </c>
      <c r="H2" s="33">
        <v>9</v>
      </c>
      <c r="I2" s="33">
        <v>8</v>
      </c>
      <c r="J2" s="33">
        <v>6</v>
      </c>
      <c r="K2" s="33">
        <v>7</v>
      </c>
      <c r="L2" s="33">
        <v>2</v>
      </c>
      <c r="M2" s="33">
        <v>8</v>
      </c>
      <c r="N2" s="33">
        <v>8</v>
      </c>
      <c r="O2" s="33">
        <v>3</v>
      </c>
      <c r="P2" s="33">
        <v>7</v>
      </c>
      <c r="Q2" s="33">
        <v>6</v>
      </c>
      <c r="R2" s="33">
        <v>6</v>
      </c>
      <c r="S2" s="33">
        <v>6</v>
      </c>
      <c r="T2" s="33">
        <v>4</v>
      </c>
      <c r="U2" s="33">
        <v>6</v>
      </c>
      <c r="V2" s="33">
        <v>3</v>
      </c>
      <c r="W2" s="33">
        <v>6</v>
      </c>
      <c r="X2" s="33">
        <v>6</v>
      </c>
      <c r="Y2" s="33">
        <v>2</v>
      </c>
      <c r="Z2" s="33">
        <v>2</v>
      </c>
      <c r="AA2" s="33">
        <v>5</v>
      </c>
      <c r="AB2" s="33">
        <v>3</v>
      </c>
      <c r="AC2" s="33">
        <v>3</v>
      </c>
      <c r="AD2" s="33">
        <v>3</v>
      </c>
      <c r="AE2" s="33">
        <v>1</v>
      </c>
      <c r="AF2" s="33">
        <v>1</v>
      </c>
      <c r="AG2" s="33">
        <v>1</v>
      </c>
      <c r="AH2" s="33">
        <v>1</v>
      </c>
      <c r="AI2" s="33">
        <v>3</v>
      </c>
      <c r="AJ2" s="33">
        <v>3</v>
      </c>
      <c r="AK2" s="33">
        <v>1</v>
      </c>
      <c r="AL2" s="33">
        <v>3</v>
      </c>
      <c r="AM2" s="33">
        <v>7</v>
      </c>
      <c r="AN2" s="33">
        <v>5</v>
      </c>
      <c r="AO2" s="33">
        <v>2</v>
      </c>
      <c r="AP2" s="33">
        <v>6</v>
      </c>
      <c r="AQ2" s="33">
        <v>7</v>
      </c>
      <c r="AR2" s="33">
        <v>2</v>
      </c>
      <c r="AS2" s="33">
        <v>6</v>
      </c>
      <c r="AT2" s="33">
        <v>5</v>
      </c>
      <c r="AU2" s="42">
        <v>4</v>
      </c>
      <c r="AV2" s="33">
        <v>9</v>
      </c>
      <c r="AW2" s="20">
        <v>8</v>
      </c>
      <c r="AX2" s="20">
        <v>7</v>
      </c>
      <c r="AY2" s="45">
        <v>7</v>
      </c>
      <c r="AZ2" s="20">
        <v>5</v>
      </c>
      <c r="BA2" s="82">
        <f>SUM(B2:AZ2)/51</f>
        <v>5.0392156862745097</v>
      </c>
    </row>
    <row r="3" spans="1:53" x14ac:dyDescent="0.35">
      <c r="A3" s="29" t="s">
        <v>49</v>
      </c>
      <c r="B3" s="75">
        <v>6</v>
      </c>
      <c r="C3" s="33">
        <v>6</v>
      </c>
      <c r="D3" s="33">
        <v>7</v>
      </c>
      <c r="E3" s="33">
        <v>7</v>
      </c>
      <c r="F3" s="33">
        <v>7</v>
      </c>
      <c r="G3" s="33">
        <v>6</v>
      </c>
      <c r="H3" s="33">
        <v>8</v>
      </c>
      <c r="I3" s="33">
        <v>4</v>
      </c>
      <c r="J3" s="33">
        <v>4</v>
      </c>
      <c r="K3" s="33">
        <v>8</v>
      </c>
      <c r="L3" s="33">
        <v>4</v>
      </c>
      <c r="M3" s="33">
        <v>6</v>
      </c>
      <c r="N3" s="33">
        <v>8</v>
      </c>
      <c r="O3" s="33">
        <v>6</v>
      </c>
      <c r="P3" s="33">
        <v>6</v>
      </c>
      <c r="Q3" s="33">
        <v>6</v>
      </c>
      <c r="R3" s="33">
        <v>6</v>
      </c>
      <c r="S3" s="33">
        <v>7</v>
      </c>
      <c r="T3" s="33">
        <v>6</v>
      </c>
      <c r="U3" s="33">
        <v>4</v>
      </c>
      <c r="V3" s="33">
        <v>3</v>
      </c>
      <c r="W3" s="33">
        <v>3</v>
      </c>
      <c r="X3" s="33">
        <v>3</v>
      </c>
      <c r="Y3" s="33">
        <v>3</v>
      </c>
      <c r="Z3" s="33">
        <v>6</v>
      </c>
      <c r="AA3" s="33">
        <v>6</v>
      </c>
      <c r="AB3" s="33">
        <v>5</v>
      </c>
      <c r="AC3" s="33">
        <v>6</v>
      </c>
      <c r="AD3" s="33">
        <v>3</v>
      </c>
      <c r="AE3" s="33">
        <v>1</v>
      </c>
      <c r="AF3" s="33">
        <v>1</v>
      </c>
      <c r="AG3" s="33">
        <v>1</v>
      </c>
      <c r="AH3" s="33">
        <v>1</v>
      </c>
      <c r="AI3" s="33">
        <v>4</v>
      </c>
      <c r="AJ3" s="33">
        <v>1</v>
      </c>
      <c r="AK3" s="33">
        <v>1</v>
      </c>
      <c r="AL3" s="33">
        <v>1</v>
      </c>
      <c r="AM3" s="33">
        <v>6</v>
      </c>
      <c r="AN3" s="33">
        <v>4</v>
      </c>
      <c r="AO3" s="33">
        <v>4</v>
      </c>
      <c r="AP3" s="33">
        <v>4</v>
      </c>
      <c r="AQ3" s="33">
        <v>7</v>
      </c>
      <c r="AR3" s="33">
        <v>1</v>
      </c>
      <c r="AS3" s="33">
        <v>1</v>
      </c>
      <c r="AT3" s="33">
        <v>4</v>
      </c>
      <c r="AU3" s="42">
        <v>1</v>
      </c>
      <c r="AV3" s="33">
        <v>4</v>
      </c>
      <c r="AW3" s="20">
        <v>3</v>
      </c>
      <c r="AX3" s="20">
        <v>5</v>
      </c>
      <c r="AY3" s="45">
        <v>3</v>
      </c>
      <c r="AZ3" s="20">
        <v>5</v>
      </c>
      <c r="BA3" s="82">
        <f t="shared" ref="BA3:BA18" si="0">SUM(B3:AZ3)/51</f>
        <v>4.3725490196078427</v>
      </c>
    </row>
    <row r="4" spans="1:53" x14ac:dyDescent="0.35">
      <c r="A4" s="29" t="s">
        <v>50</v>
      </c>
      <c r="B4" s="76">
        <v>1</v>
      </c>
      <c r="C4" s="56">
        <v>1</v>
      </c>
      <c r="D4" s="56">
        <v>1</v>
      </c>
      <c r="E4" s="56">
        <v>1</v>
      </c>
      <c r="F4" s="56">
        <v>1</v>
      </c>
      <c r="G4" s="56">
        <v>1</v>
      </c>
      <c r="H4" s="56">
        <v>1</v>
      </c>
      <c r="I4" s="56">
        <v>1</v>
      </c>
      <c r="J4" s="56">
        <v>1</v>
      </c>
      <c r="K4" s="56">
        <v>1</v>
      </c>
      <c r="L4" s="56">
        <v>1</v>
      </c>
      <c r="M4" s="56">
        <v>1</v>
      </c>
      <c r="N4" s="56">
        <v>1</v>
      </c>
      <c r="O4" s="56">
        <v>1</v>
      </c>
      <c r="P4" s="56">
        <v>1</v>
      </c>
      <c r="Q4" s="56">
        <v>1</v>
      </c>
      <c r="R4" s="56">
        <v>1</v>
      </c>
      <c r="S4" s="56">
        <v>1</v>
      </c>
      <c r="T4" s="56">
        <v>1</v>
      </c>
      <c r="U4" s="56">
        <v>1</v>
      </c>
      <c r="V4" s="56">
        <v>1</v>
      </c>
      <c r="W4" s="56">
        <v>1</v>
      </c>
      <c r="X4" s="56">
        <v>1</v>
      </c>
      <c r="Y4" s="56">
        <v>1</v>
      </c>
      <c r="Z4" s="56">
        <v>1</v>
      </c>
      <c r="AA4" s="56">
        <v>1</v>
      </c>
      <c r="AB4" s="56">
        <v>1</v>
      </c>
      <c r="AC4" s="56">
        <v>1</v>
      </c>
      <c r="AD4" s="56">
        <v>1</v>
      </c>
      <c r="AE4" s="56">
        <v>1</v>
      </c>
      <c r="AF4" s="56">
        <v>1</v>
      </c>
      <c r="AG4" s="56">
        <v>1</v>
      </c>
      <c r="AH4" s="56">
        <v>1</v>
      </c>
      <c r="AI4" s="56">
        <v>1</v>
      </c>
      <c r="AJ4" s="56">
        <v>1</v>
      </c>
      <c r="AK4" s="56">
        <v>1</v>
      </c>
      <c r="AL4" s="56">
        <v>1</v>
      </c>
      <c r="AM4" s="56">
        <v>1</v>
      </c>
      <c r="AN4" s="56">
        <v>1</v>
      </c>
      <c r="AO4" s="56">
        <v>1</v>
      </c>
      <c r="AP4" s="56">
        <v>1</v>
      </c>
      <c r="AQ4" s="56">
        <v>1</v>
      </c>
      <c r="AR4" s="56">
        <v>1</v>
      </c>
      <c r="AS4" s="56">
        <v>1</v>
      </c>
      <c r="AT4" s="56">
        <v>1</v>
      </c>
      <c r="AU4" s="57">
        <v>1</v>
      </c>
      <c r="AV4" s="56"/>
      <c r="AW4" s="58"/>
      <c r="AX4" s="54"/>
      <c r="AY4" s="55"/>
      <c r="AZ4" s="54"/>
      <c r="BA4" s="82">
        <f t="shared" si="0"/>
        <v>0.90196078431372551</v>
      </c>
    </row>
    <row r="5" spans="1:53" x14ac:dyDescent="0.35">
      <c r="A5" s="29" t="s">
        <v>51</v>
      </c>
      <c r="B5" s="75">
        <v>8</v>
      </c>
      <c r="C5" s="33">
        <v>8</v>
      </c>
      <c r="D5" s="33">
        <v>8</v>
      </c>
      <c r="E5" s="33">
        <v>7</v>
      </c>
      <c r="F5" s="33">
        <v>8</v>
      </c>
      <c r="G5" s="33">
        <v>8</v>
      </c>
      <c r="H5" s="33">
        <v>8</v>
      </c>
      <c r="I5" s="33">
        <v>7</v>
      </c>
      <c r="J5" s="33">
        <v>8</v>
      </c>
      <c r="K5" s="33">
        <v>8</v>
      </c>
      <c r="L5" s="33">
        <v>4</v>
      </c>
      <c r="M5" s="33">
        <v>6</v>
      </c>
      <c r="N5" s="33">
        <v>8</v>
      </c>
      <c r="O5" s="33">
        <v>7</v>
      </c>
      <c r="P5" s="33">
        <v>7</v>
      </c>
      <c r="Q5" s="33">
        <v>8</v>
      </c>
      <c r="R5" s="33">
        <v>4</v>
      </c>
      <c r="S5" s="33">
        <v>6</v>
      </c>
      <c r="T5" s="33">
        <v>6</v>
      </c>
      <c r="U5" s="33">
        <v>4</v>
      </c>
      <c r="V5" s="33">
        <v>4</v>
      </c>
      <c r="W5" s="33">
        <v>7</v>
      </c>
      <c r="X5" s="33">
        <v>8</v>
      </c>
      <c r="Y5" s="33">
        <v>8</v>
      </c>
      <c r="Z5" s="33">
        <v>6</v>
      </c>
      <c r="AA5" s="33">
        <v>8</v>
      </c>
      <c r="AB5" s="33">
        <v>4</v>
      </c>
      <c r="AC5" s="33">
        <v>8</v>
      </c>
      <c r="AD5" s="33">
        <v>4</v>
      </c>
      <c r="AE5" s="33">
        <v>1</v>
      </c>
      <c r="AF5" s="33">
        <v>1</v>
      </c>
      <c r="AG5" s="33">
        <v>1</v>
      </c>
      <c r="AH5" s="33">
        <v>1</v>
      </c>
      <c r="AI5" s="33">
        <v>4</v>
      </c>
      <c r="AJ5" s="33">
        <v>4</v>
      </c>
      <c r="AK5" s="33">
        <v>4</v>
      </c>
      <c r="AL5" s="33">
        <v>3</v>
      </c>
      <c r="AM5" s="33">
        <v>7</v>
      </c>
      <c r="AN5" s="33">
        <v>7</v>
      </c>
      <c r="AO5" s="33">
        <v>2</v>
      </c>
      <c r="AP5" s="33">
        <v>5</v>
      </c>
      <c r="AQ5" s="33">
        <v>6</v>
      </c>
      <c r="AR5" s="33">
        <v>1</v>
      </c>
      <c r="AS5" s="33">
        <v>3</v>
      </c>
      <c r="AT5" s="33">
        <v>6</v>
      </c>
      <c r="AU5" s="42">
        <v>3</v>
      </c>
      <c r="AV5" s="33">
        <v>9</v>
      </c>
      <c r="AW5" s="20">
        <v>8</v>
      </c>
      <c r="AX5" s="20">
        <v>9</v>
      </c>
      <c r="AY5" s="45">
        <v>7</v>
      </c>
      <c r="AZ5" s="20">
        <v>6</v>
      </c>
      <c r="BA5" s="82">
        <f t="shared" si="0"/>
        <v>5.7450980392156863</v>
      </c>
    </row>
    <row r="6" spans="1:53" x14ac:dyDescent="0.35">
      <c r="A6" s="29" t="s">
        <v>52</v>
      </c>
      <c r="B6" s="75">
        <v>6</v>
      </c>
      <c r="C6" s="33">
        <v>7</v>
      </c>
      <c r="D6" s="33">
        <v>7</v>
      </c>
      <c r="E6" s="33">
        <v>7</v>
      </c>
      <c r="F6" s="33">
        <v>7</v>
      </c>
      <c r="G6" s="33">
        <v>7</v>
      </c>
      <c r="H6" s="33">
        <v>7</v>
      </c>
      <c r="I6" s="33">
        <v>6</v>
      </c>
      <c r="J6" s="33">
        <v>2</v>
      </c>
      <c r="K6" s="33">
        <v>4</v>
      </c>
      <c r="L6" s="33">
        <v>2</v>
      </c>
      <c r="M6" s="33">
        <v>2</v>
      </c>
      <c r="N6" s="33">
        <v>4</v>
      </c>
      <c r="O6" s="33">
        <v>4</v>
      </c>
      <c r="P6" s="33">
        <v>4</v>
      </c>
      <c r="Q6" s="33">
        <v>2</v>
      </c>
      <c r="R6" s="33">
        <v>4</v>
      </c>
      <c r="S6" s="33">
        <v>3</v>
      </c>
      <c r="T6" s="33">
        <v>2</v>
      </c>
      <c r="U6" s="33">
        <v>2</v>
      </c>
      <c r="V6" s="33">
        <v>2</v>
      </c>
      <c r="W6" s="33">
        <v>4</v>
      </c>
      <c r="X6" s="33">
        <v>4</v>
      </c>
      <c r="Y6" s="33">
        <v>1</v>
      </c>
      <c r="Z6" s="33">
        <v>3</v>
      </c>
      <c r="AA6" s="33">
        <v>2</v>
      </c>
      <c r="AB6" s="33">
        <v>1</v>
      </c>
      <c r="AC6" s="33">
        <v>3</v>
      </c>
      <c r="AD6" s="33">
        <v>5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3">
        <v>1</v>
      </c>
      <c r="AM6" s="33">
        <v>5</v>
      </c>
      <c r="AN6" s="33">
        <v>5</v>
      </c>
      <c r="AO6" s="33">
        <v>2</v>
      </c>
      <c r="AP6" s="33">
        <v>4</v>
      </c>
      <c r="AQ6" s="33">
        <v>6</v>
      </c>
      <c r="AR6" s="33">
        <v>1</v>
      </c>
      <c r="AS6" s="33">
        <v>1</v>
      </c>
      <c r="AT6" s="33">
        <v>5</v>
      </c>
      <c r="AU6" s="42">
        <v>1</v>
      </c>
      <c r="AV6" s="33">
        <v>4</v>
      </c>
      <c r="AW6" s="20">
        <v>6</v>
      </c>
      <c r="AX6" s="20">
        <v>7</v>
      </c>
      <c r="AY6" s="45">
        <v>3</v>
      </c>
      <c r="AZ6" s="20">
        <v>4</v>
      </c>
      <c r="BA6" s="82">
        <f t="shared" si="0"/>
        <v>3.4509803921568629</v>
      </c>
    </row>
    <row r="7" spans="1:53" x14ac:dyDescent="0.35">
      <c r="A7" s="29" t="s">
        <v>53</v>
      </c>
      <c r="B7" s="75">
        <v>4</v>
      </c>
      <c r="C7" s="33">
        <v>5</v>
      </c>
      <c r="D7" s="33">
        <v>7</v>
      </c>
      <c r="E7" s="33">
        <v>7</v>
      </c>
      <c r="F7" s="33">
        <v>7</v>
      </c>
      <c r="G7" s="34">
        <v>7</v>
      </c>
      <c r="H7" s="34">
        <v>7</v>
      </c>
      <c r="I7" s="34">
        <v>5</v>
      </c>
      <c r="J7" s="34">
        <v>3</v>
      </c>
      <c r="K7" s="34">
        <v>4</v>
      </c>
      <c r="L7" s="34">
        <v>5</v>
      </c>
      <c r="M7" s="34">
        <v>4</v>
      </c>
      <c r="N7" s="34">
        <v>5</v>
      </c>
      <c r="O7" s="34">
        <v>3</v>
      </c>
      <c r="P7" s="34">
        <v>2</v>
      </c>
      <c r="Q7" s="34">
        <v>2</v>
      </c>
      <c r="R7" s="34">
        <v>3</v>
      </c>
      <c r="S7" s="34">
        <v>3</v>
      </c>
      <c r="T7" s="34">
        <v>2</v>
      </c>
      <c r="U7" s="34">
        <v>4</v>
      </c>
      <c r="V7" s="34">
        <v>1</v>
      </c>
      <c r="W7" s="34">
        <v>1</v>
      </c>
      <c r="X7" s="34">
        <v>1</v>
      </c>
      <c r="Y7" s="34">
        <v>3</v>
      </c>
      <c r="Z7" s="34">
        <v>3</v>
      </c>
      <c r="AA7" s="34">
        <v>5</v>
      </c>
      <c r="AB7" s="34">
        <v>2</v>
      </c>
      <c r="AC7" s="34">
        <v>2</v>
      </c>
      <c r="AD7" s="34">
        <v>1</v>
      </c>
      <c r="AE7" s="34">
        <v>1</v>
      </c>
      <c r="AF7" s="34">
        <v>1</v>
      </c>
      <c r="AG7" s="34">
        <v>1</v>
      </c>
      <c r="AH7" s="34">
        <v>1</v>
      </c>
      <c r="AI7" s="34">
        <v>5</v>
      </c>
      <c r="AJ7" s="34">
        <v>4</v>
      </c>
      <c r="AK7" s="34">
        <v>2</v>
      </c>
      <c r="AL7" s="34">
        <v>1</v>
      </c>
      <c r="AM7" s="34">
        <v>2</v>
      </c>
      <c r="AN7" s="34">
        <v>1</v>
      </c>
      <c r="AO7" s="34">
        <v>3</v>
      </c>
      <c r="AP7" s="34">
        <v>4</v>
      </c>
      <c r="AQ7" s="34">
        <v>7</v>
      </c>
      <c r="AR7" s="34">
        <v>4</v>
      </c>
      <c r="AS7" s="34">
        <v>1</v>
      </c>
      <c r="AT7" s="34">
        <v>5</v>
      </c>
      <c r="AU7" s="43">
        <v>1</v>
      </c>
      <c r="AV7" s="34">
        <v>4</v>
      </c>
      <c r="AW7" s="20">
        <v>5</v>
      </c>
      <c r="AX7" s="20">
        <v>6</v>
      </c>
      <c r="AY7" s="45">
        <v>1</v>
      </c>
      <c r="AZ7" s="20">
        <v>2</v>
      </c>
      <c r="BA7" s="82">
        <f t="shared" si="0"/>
        <v>3.3333333333333335</v>
      </c>
    </row>
    <row r="8" spans="1:53" x14ac:dyDescent="0.35">
      <c r="A8" s="29" t="s">
        <v>54</v>
      </c>
      <c r="B8" s="75">
        <v>7</v>
      </c>
      <c r="C8" s="33">
        <v>8</v>
      </c>
      <c r="D8" s="33">
        <v>8</v>
      </c>
      <c r="E8" s="33">
        <v>8</v>
      </c>
      <c r="F8" s="33">
        <v>8</v>
      </c>
      <c r="G8" s="33">
        <v>8</v>
      </c>
      <c r="H8" s="33">
        <v>8</v>
      </c>
      <c r="I8" s="33">
        <v>8</v>
      </c>
      <c r="J8" s="33">
        <v>8</v>
      </c>
      <c r="K8" s="33">
        <v>8</v>
      </c>
      <c r="L8" s="33">
        <v>8</v>
      </c>
      <c r="M8" s="33">
        <v>8</v>
      </c>
      <c r="N8" s="33">
        <v>6</v>
      </c>
      <c r="O8" s="33">
        <v>7</v>
      </c>
      <c r="P8" s="33">
        <v>7</v>
      </c>
      <c r="Q8" s="33">
        <v>7</v>
      </c>
      <c r="R8" s="33">
        <v>8</v>
      </c>
      <c r="S8" s="33">
        <v>7</v>
      </c>
      <c r="T8" s="33">
        <v>3</v>
      </c>
      <c r="U8" s="33">
        <v>5</v>
      </c>
      <c r="V8" s="33">
        <v>5</v>
      </c>
      <c r="W8" s="33">
        <v>5</v>
      </c>
      <c r="X8" s="33">
        <v>4</v>
      </c>
      <c r="Y8" s="33">
        <v>5</v>
      </c>
      <c r="Z8" s="33">
        <v>4</v>
      </c>
      <c r="AA8" s="33">
        <v>7</v>
      </c>
      <c r="AB8" s="33">
        <v>6</v>
      </c>
      <c r="AC8" s="33">
        <v>6</v>
      </c>
      <c r="AD8" s="34">
        <v>4</v>
      </c>
      <c r="AE8" s="34">
        <v>5</v>
      </c>
      <c r="AF8" s="34">
        <v>1</v>
      </c>
      <c r="AG8" s="34">
        <v>1</v>
      </c>
      <c r="AH8" s="34">
        <v>1</v>
      </c>
      <c r="AI8" s="34">
        <v>5</v>
      </c>
      <c r="AJ8" s="34">
        <v>5</v>
      </c>
      <c r="AK8" s="34">
        <v>1</v>
      </c>
      <c r="AL8" s="34">
        <v>5</v>
      </c>
      <c r="AM8" s="34">
        <v>6</v>
      </c>
      <c r="AN8" s="34">
        <v>5</v>
      </c>
      <c r="AO8" s="34">
        <v>5</v>
      </c>
      <c r="AP8" s="34">
        <v>6</v>
      </c>
      <c r="AQ8" s="34">
        <v>7</v>
      </c>
      <c r="AR8" s="34">
        <v>3</v>
      </c>
      <c r="AS8" s="34">
        <v>5</v>
      </c>
      <c r="AT8" s="34">
        <v>5</v>
      </c>
      <c r="AU8" s="43">
        <v>5</v>
      </c>
      <c r="AV8" s="34">
        <v>8</v>
      </c>
      <c r="AW8" s="20">
        <v>7</v>
      </c>
      <c r="AX8" s="20">
        <v>9</v>
      </c>
      <c r="AY8" s="45">
        <v>3</v>
      </c>
      <c r="AZ8" s="20">
        <v>5</v>
      </c>
      <c r="BA8" s="82">
        <f t="shared" si="0"/>
        <v>5.7647058823529411</v>
      </c>
    </row>
    <row r="9" spans="1:53" x14ac:dyDescent="0.35">
      <c r="A9" s="29" t="s">
        <v>55</v>
      </c>
      <c r="B9" s="75">
        <v>8</v>
      </c>
      <c r="C9" s="33">
        <v>8</v>
      </c>
      <c r="D9" s="33">
        <v>8</v>
      </c>
      <c r="E9" s="33">
        <v>7</v>
      </c>
      <c r="F9" s="33">
        <v>8</v>
      </c>
      <c r="G9" s="33">
        <v>8</v>
      </c>
      <c r="H9" s="33">
        <v>8</v>
      </c>
      <c r="I9" s="33">
        <v>8</v>
      </c>
      <c r="J9" s="33">
        <v>7</v>
      </c>
      <c r="K9" s="33">
        <v>8</v>
      </c>
      <c r="L9" s="33">
        <v>8</v>
      </c>
      <c r="M9" s="33">
        <v>8</v>
      </c>
      <c r="N9" s="33">
        <v>8</v>
      </c>
      <c r="O9" s="33">
        <v>7</v>
      </c>
      <c r="P9" s="33">
        <v>5</v>
      </c>
      <c r="Q9" s="33">
        <v>5</v>
      </c>
      <c r="R9" s="33">
        <v>5</v>
      </c>
      <c r="S9" s="33">
        <v>5</v>
      </c>
      <c r="T9" s="33">
        <v>5</v>
      </c>
      <c r="U9" s="33">
        <v>5</v>
      </c>
      <c r="V9" s="33">
        <v>4</v>
      </c>
      <c r="W9" s="33">
        <v>3</v>
      </c>
      <c r="X9" s="33">
        <v>3</v>
      </c>
      <c r="Y9" s="33">
        <v>3</v>
      </c>
      <c r="Z9" s="33">
        <v>7</v>
      </c>
      <c r="AA9" s="33">
        <v>6</v>
      </c>
      <c r="AB9" s="33">
        <v>6</v>
      </c>
      <c r="AC9" s="33">
        <v>6</v>
      </c>
      <c r="AD9" s="33">
        <v>1</v>
      </c>
      <c r="AE9" s="33">
        <v>7</v>
      </c>
      <c r="AF9" s="33">
        <v>7</v>
      </c>
      <c r="AG9" s="33">
        <v>7</v>
      </c>
      <c r="AH9" s="33">
        <v>7</v>
      </c>
      <c r="AI9" s="33">
        <v>7</v>
      </c>
      <c r="AJ9" s="33">
        <v>7</v>
      </c>
      <c r="AK9" s="33">
        <v>7</v>
      </c>
      <c r="AL9" s="33">
        <v>4</v>
      </c>
      <c r="AM9" s="33">
        <v>5</v>
      </c>
      <c r="AN9" s="33">
        <v>5</v>
      </c>
      <c r="AO9" s="33">
        <v>4</v>
      </c>
      <c r="AP9" s="33">
        <v>8</v>
      </c>
      <c r="AQ9" s="33">
        <v>8</v>
      </c>
      <c r="AR9" s="33">
        <v>5</v>
      </c>
      <c r="AS9" s="33">
        <v>5</v>
      </c>
      <c r="AT9" s="33">
        <v>5</v>
      </c>
      <c r="AU9" s="42">
        <v>5</v>
      </c>
      <c r="AV9" s="34">
        <v>5</v>
      </c>
      <c r="AW9" s="20">
        <v>6</v>
      </c>
      <c r="AX9" s="20">
        <v>5</v>
      </c>
      <c r="AY9" s="45">
        <v>3</v>
      </c>
      <c r="AZ9" s="20">
        <v>2</v>
      </c>
      <c r="BA9" s="82">
        <f t="shared" si="0"/>
        <v>5.9215686274509807</v>
      </c>
    </row>
    <row r="10" spans="1:53" x14ac:dyDescent="0.35">
      <c r="A10" s="29" t="s">
        <v>56</v>
      </c>
      <c r="B10" s="75">
        <v>7</v>
      </c>
      <c r="C10" s="33">
        <v>8</v>
      </c>
      <c r="D10" s="33">
        <v>8</v>
      </c>
      <c r="E10" s="33">
        <v>7</v>
      </c>
      <c r="F10" s="33">
        <v>8</v>
      </c>
      <c r="G10" s="33">
        <v>8</v>
      </c>
      <c r="H10" s="33">
        <v>9</v>
      </c>
      <c r="I10" s="33">
        <v>9</v>
      </c>
      <c r="J10" s="33">
        <v>7</v>
      </c>
      <c r="K10" s="33">
        <v>7</v>
      </c>
      <c r="L10" s="33">
        <v>6</v>
      </c>
      <c r="M10" s="33">
        <v>7</v>
      </c>
      <c r="N10" s="33">
        <v>7</v>
      </c>
      <c r="O10" s="33">
        <v>7</v>
      </c>
      <c r="P10" s="33">
        <v>7</v>
      </c>
      <c r="Q10" s="33">
        <v>4</v>
      </c>
      <c r="R10" s="33">
        <v>9</v>
      </c>
      <c r="S10" s="33">
        <v>6</v>
      </c>
      <c r="T10" s="33">
        <v>2</v>
      </c>
      <c r="U10" s="33">
        <v>2</v>
      </c>
      <c r="V10" s="33">
        <v>2</v>
      </c>
      <c r="W10" s="33">
        <v>6</v>
      </c>
      <c r="X10" s="33">
        <v>5</v>
      </c>
      <c r="Y10" s="33">
        <v>1</v>
      </c>
      <c r="Z10" s="33">
        <v>4</v>
      </c>
      <c r="AA10" s="33">
        <v>8</v>
      </c>
      <c r="AB10" s="33">
        <v>1</v>
      </c>
      <c r="AC10" s="33">
        <v>1</v>
      </c>
      <c r="AD10" s="33">
        <v>7</v>
      </c>
      <c r="AE10" s="33">
        <v>1</v>
      </c>
      <c r="AF10" s="33">
        <v>1</v>
      </c>
      <c r="AG10" s="33">
        <v>1</v>
      </c>
      <c r="AH10" s="33">
        <v>1</v>
      </c>
      <c r="AI10" s="33">
        <v>7</v>
      </c>
      <c r="AJ10" s="33">
        <v>1</v>
      </c>
      <c r="AK10" s="33">
        <v>1</v>
      </c>
      <c r="AL10" s="33">
        <v>4</v>
      </c>
      <c r="AM10" s="33">
        <v>7</v>
      </c>
      <c r="AN10" s="33">
        <v>6</v>
      </c>
      <c r="AO10" s="33">
        <v>5</v>
      </c>
      <c r="AP10" s="33">
        <v>7</v>
      </c>
      <c r="AQ10" s="33">
        <v>8</v>
      </c>
      <c r="AR10" s="33">
        <v>4</v>
      </c>
      <c r="AS10" s="33">
        <v>1</v>
      </c>
      <c r="AT10" s="33">
        <v>7</v>
      </c>
      <c r="AU10" s="42">
        <v>1</v>
      </c>
      <c r="AV10" s="33">
        <v>8</v>
      </c>
      <c r="AW10" s="20">
        <v>7</v>
      </c>
      <c r="AX10" s="20">
        <v>9</v>
      </c>
      <c r="AY10" s="45">
        <v>5</v>
      </c>
      <c r="AZ10" s="20">
        <v>7</v>
      </c>
      <c r="BA10" s="82">
        <f t="shared" si="0"/>
        <v>5.2745098039215685</v>
      </c>
    </row>
    <row r="11" spans="1:53" x14ac:dyDescent="0.35">
      <c r="A11" s="29" t="s">
        <v>57</v>
      </c>
      <c r="B11" s="75">
        <v>6</v>
      </c>
      <c r="C11" s="33">
        <v>8</v>
      </c>
      <c r="D11" s="33">
        <v>8</v>
      </c>
      <c r="E11" s="33">
        <v>8</v>
      </c>
      <c r="F11" s="33">
        <v>8</v>
      </c>
      <c r="G11" s="33">
        <v>8</v>
      </c>
      <c r="H11" s="33">
        <v>8</v>
      </c>
      <c r="I11" s="33">
        <v>4</v>
      </c>
      <c r="J11" s="33">
        <v>8</v>
      </c>
      <c r="K11" s="33">
        <v>8</v>
      </c>
      <c r="L11" s="33">
        <v>6</v>
      </c>
      <c r="M11" s="33">
        <v>8</v>
      </c>
      <c r="N11" s="33">
        <v>8</v>
      </c>
      <c r="O11" s="33">
        <v>7</v>
      </c>
      <c r="P11" s="33">
        <v>8</v>
      </c>
      <c r="Q11" s="33">
        <v>4</v>
      </c>
      <c r="R11" s="33">
        <v>6</v>
      </c>
      <c r="S11" s="33">
        <v>6</v>
      </c>
      <c r="T11" s="33">
        <v>2</v>
      </c>
      <c r="U11" s="33">
        <v>2</v>
      </c>
      <c r="V11" s="33">
        <v>2</v>
      </c>
      <c r="W11" s="33">
        <v>4</v>
      </c>
      <c r="X11" s="33">
        <v>6</v>
      </c>
      <c r="Y11" s="33">
        <v>8</v>
      </c>
      <c r="Z11" s="33">
        <v>8</v>
      </c>
      <c r="AA11" s="33">
        <v>6</v>
      </c>
      <c r="AB11" s="33">
        <v>4</v>
      </c>
      <c r="AC11" s="33">
        <v>7</v>
      </c>
      <c r="AD11" s="33">
        <v>6</v>
      </c>
      <c r="AE11" s="33">
        <v>1</v>
      </c>
      <c r="AF11" s="33">
        <v>1</v>
      </c>
      <c r="AG11" s="33">
        <v>1</v>
      </c>
      <c r="AH11" s="33">
        <v>1</v>
      </c>
      <c r="AI11" s="33">
        <v>4</v>
      </c>
      <c r="AJ11" s="33">
        <v>4</v>
      </c>
      <c r="AK11" s="33">
        <v>4</v>
      </c>
      <c r="AL11" s="33">
        <v>4</v>
      </c>
      <c r="AM11" s="33">
        <v>8</v>
      </c>
      <c r="AN11" s="33">
        <v>6</v>
      </c>
      <c r="AO11" s="33">
        <v>4</v>
      </c>
      <c r="AP11" s="33">
        <v>8</v>
      </c>
      <c r="AQ11" s="33">
        <v>8</v>
      </c>
      <c r="AR11" s="33">
        <v>2</v>
      </c>
      <c r="AS11" s="33">
        <v>2</v>
      </c>
      <c r="AT11" s="33">
        <v>6</v>
      </c>
      <c r="AU11" s="42">
        <v>2</v>
      </c>
      <c r="AV11" s="33">
        <v>5</v>
      </c>
      <c r="AW11" s="20">
        <v>7</v>
      </c>
      <c r="AX11" s="20">
        <v>5</v>
      </c>
      <c r="AY11" s="45">
        <v>4</v>
      </c>
      <c r="AZ11" s="20">
        <v>5</v>
      </c>
      <c r="BA11" s="82">
        <f t="shared" si="0"/>
        <v>5.3725490196078427</v>
      </c>
    </row>
    <row r="12" spans="1:53" x14ac:dyDescent="0.35">
      <c r="A12" s="29" t="s">
        <v>58</v>
      </c>
      <c r="B12" s="75">
        <v>6</v>
      </c>
      <c r="C12" s="33">
        <v>7</v>
      </c>
      <c r="D12" s="33">
        <v>8</v>
      </c>
      <c r="E12" s="33">
        <v>8</v>
      </c>
      <c r="F12" s="33">
        <v>8</v>
      </c>
      <c r="G12" s="33">
        <v>8</v>
      </c>
      <c r="H12" s="33">
        <v>8</v>
      </c>
      <c r="I12" s="33">
        <v>1</v>
      </c>
      <c r="J12" s="33">
        <v>4</v>
      </c>
      <c r="K12" s="33">
        <v>5</v>
      </c>
      <c r="L12" s="33">
        <v>1</v>
      </c>
      <c r="M12" s="33">
        <v>5</v>
      </c>
      <c r="N12" s="33">
        <v>7</v>
      </c>
      <c r="O12" s="33">
        <v>3</v>
      </c>
      <c r="P12" s="33">
        <v>1</v>
      </c>
      <c r="Q12" s="33">
        <v>4</v>
      </c>
      <c r="R12" s="33">
        <v>6</v>
      </c>
      <c r="S12" s="33">
        <v>4</v>
      </c>
      <c r="T12" s="33">
        <v>1</v>
      </c>
      <c r="U12" s="33">
        <v>1</v>
      </c>
      <c r="V12" s="33">
        <v>1</v>
      </c>
      <c r="W12" s="33">
        <v>1</v>
      </c>
      <c r="X12" s="33">
        <v>7</v>
      </c>
      <c r="Y12" s="33">
        <v>7</v>
      </c>
      <c r="Z12" s="33">
        <v>4</v>
      </c>
      <c r="AA12" s="33">
        <v>7</v>
      </c>
      <c r="AB12" s="33">
        <v>1</v>
      </c>
      <c r="AC12" s="33">
        <v>4</v>
      </c>
      <c r="AD12" s="33">
        <v>7</v>
      </c>
      <c r="AE12" s="33">
        <v>1</v>
      </c>
      <c r="AF12" s="33">
        <v>1</v>
      </c>
      <c r="AG12" s="33">
        <v>1</v>
      </c>
      <c r="AH12" s="33">
        <v>1</v>
      </c>
      <c r="AI12" s="33">
        <v>4</v>
      </c>
      <c r="AJ12" s="33">
        <v>4</v>
      </c>
      <c r="AK12" s="33">
        <v>1</v>
      </c>
      <c r="AL12" s="33">
        <v>2</v>
      </c>
      <c r="AM12" s="33">
        <v>4</v>
      </c>
      <c r="AN12" s="33">
        <v>6</v>
      </c>
      <c r="AO12" s="33">
        <v>6</v>
      </c>
      <c r="AP12" s="33">
        <v>6</v>
      </c>
      <c r="AQ12" s="33">
        <v>6</v>
      </c>
      <c r="AR12" s="33">
        <v>1</v>
      </c>
      <c r="AS12" s="33">
        <v>1</v>
      </c>
      <c r="AT12" s="33">
        <v>6</v>
      </c>
      <c r="AU12" s="42">
        <v>1</v>
      </c>
      <c r="AV12" s="33">
        <v>8</v>
      </c>
      <c r="AW12" s="20">
        <v>7</v>
      </c>
      <c r="AX12" s="20">
        <v>8</v>
      </c>
      <c r="AY12" s="45">
        <v>7</v>
      </c>
      <c r="AZ12" s="20">
        <v>7</v>
      </c>
      <c r="BA12" s="82">
        <f t="shared" si="0"/>
        <v>4.3921568627450984</v>
      </c>
    </row>
    <row r="13" spans="1:53" x14ac:dyDescent="0.35">
      <c r="A13" s="29" t="s">
        <v>59</v>
      </c>
      <c r="B13" s="75">
        <v>6</v>
      </c>
      <c r="C13" s="33">
        <v>6</v>
      </c>
      <c r="D13" s="33">
        <v>8</v>
      </c>
      <c r="E13" s="33">
        <v>8</v>
      </c>
      <c r="F13" s="33">
        <v>8</v>
      </c>
      <c r="G13" s="33">
        <v>8</v>
      </c>
      <c r="H13" s="33">
        <v>8</v>
      </c>
      <c r="I13" s="33">
        <v>3</v>
      </c>
      <c r="J13" s="33">
        <v>7</v>
      </c>
      <c r="K13" s="33">
        <v>8</v>
      </c>
      <c r="L13" s="33">
        <v>7</v>
      </c>
      <c r="M13" s="33">
        <v>8</v>
      </c>
      <c r="N13" s="33">
        <v>8</v>
      </c>
      <c r="O13" s="33">
        <v>8</v>
      </c>
      <c r="P13" s="33">
        <v>5</v>
      </c>
      <c r="Q13" s="33">
        <v>4</v>
      </c>
      <c r="R13" s="33">
        <v>6</v>
      </c>
      <c r="S13" s="33">
        <v>6</v>
      </c>
      <c r="T13" s="33">
        <v>4</v>
      </c>
      <c r="U13" s="33">
        <v>6</v>
      </c>
      <c r="V13" s="33">
        <v>4</v>
      </c>
      <c r="W13" s="33">
        <v>4</v>
      </c>
      <c r="X13" s="33">
        <v>7</v>
      </c>
      <c r="Y13" s="33">
        <v>8</v>
      </c>
      <c r="Z13" s="33">
        <v>8</v>
      </c>
      <c r="AA13" s="33">
        <v>4</v>
      </c>
      <c r="AB13" s="33">
        <v>2</v>
      </c>
      <c r="AC13" s="33">
        <v>2</v>
      </c>
      <c r="AD13" s="33">
        <v>7</v>
      </c>
      <c r="AE13" s="33">
        <v>1</v>
      </c>
      <c r="AF13" s="33">
        <v>1</v>
      </c>
      <c r="AG13" s="33">
        <v>1</v>
      </c>
      <c r="AH13" s="33">
        <v>1</v>
      </c>
      <c r="AI13" s="33">
        <v>3</v>
      </c>
      <c r="AJ13" s="33">
        <v>3</v>
      </c>
      <c r="AK13" s="33">
        <v>1</v>
      </c>
      <c r="AL13" s="33">
        <v>2</v>
      </c>
      <c r="AM13" s="33">
        <v>5</v>
      </c>
      <c r="AN13" s="33">
        <v>2</v>
      </c>
      <c r="AO13" s="33">
        <v>5</v>
      </c>
      <c r="AP13" s="33">
        <v>8</v>
      </c>
      <c r="AQ13" s="33">
        <v>7</v>
      </c>
      <c r="AR13" s="33">
        <v>2</v>
      </c>
      <c r="AS13" s="33">
        <v>1</v>
      </c>
      <c r="AT13" s="33">
        <v>7</v>
      </c>
      <c r="AU13" s="42">
        <v>1</v>
      </c>
      <c r="AV13" s="33">
        <v>3</v>
      </c>
      <c r="AW13" s="20">
        <v>5</v>
      </c>
      <c r="AX13" s="20">
        <v>4</v>
      </c>
      <c r="AY13" s="45">
        <v>5</v>
      </c>
      <c r="AZ13" s="20">
        <v>8</v>
      </c>
      <c r="BA13" s="82">
        <f t="shared" si="0"/>
        <v>4.9803921568627452</v>
      </c>
    </row>
    <row r="14" spans="1:53" x14ac:dyDescent="0.35">
      <c r="A14" s="29" t="s">
        <v>60</v>
      </c>
      <c r="B14" s="75">
        <v>6</v>
      </c>
      <c r="C14" s="33">
        <v>7</v>
      </c>
      <c r="D14" s="33">
        <v>8</v>
      </c>
      <c r="E14" s="33">
        <v>8</v>
      </c>
      <c r="F14" s="33">
        <v>8</v>
      </c>
      <c r="G14" s="33">
        <v>8</v>
      </c>
      <c r="H14" s="33">
        <v>8</v>
      </c>
      <c r="I14" s="33">
        <v>6</v>
      </c>
      <c r="J14" s="33">
        <v>8</v>
      </c>
      <c r="K14" s="33">
        <v>8</v>
      </c>
      <c r="L14" s="33">
        <v>8</v>
      </c>
      <c r="M14" s="33">
        <v>4</v>
      </c>
      <c r="N14" s="33">
        <v>6</v>
      </c>
      <c r="O14" s="33">
        <v>7</v>
      </c>
      <c r="P14" s="33">
        <v>7</v>
      </c>
      <c r="Q14" s="33">
        <v>5</v>
      </c>
      <c r="R14" s="33">
        <v>8</v>
      </c>
      <c r="S14" s="33">
        <v>9</v>
      </c>
      <c r="T14" s="33">
        <v>7</v>
      </c>
      <c r="U14" s="33">
        <v>4</v>
      </c>
      <c r="V14" s="33">
        <v>6</v>
      </c>
      <c r="W14" s="33">
        <v>4</v>
      </c>
      <c r="X14" s="33">
        <v>6</v>
      </c>
      <c r="Y14" s="33">
        <v>6</v>
      </c>
      <c r="Z14" s="33">
        <v>6</v>
      </c>
      <c r="AA14" s="33">
        <v>6</v>
      </c>
      <c r="AB14" s="33">
        <v>4</v>
      </c>
      <c r="AC14" s="33">
        <v>6</v>
      </c>
      <c r="AD14" s="33">
        <v>6</v>
      </c>
      <c r="AE14" s="33">
        <v>4</v>
      </c>
      <c r="AF14" s="33">
        <v>4</v>
      </c>
      <c r="AG14" s="33">
        <v>4</v>
      </c>
      <c r="AH14" s="33">
        <v>4</v>
      </c>
      <c r="AI14" s="33">
        <v>4</v>
      </c>
      <c r="AJ14" s="33">
        <v>4</v>
      </c>
      <c r="AK14" s="33">
        <v>4</v>
      </c>
      <c r="AL14" s="33">
        <v>4</v>
      </c>
      <c r="AM14" s="33">
        <v>6</v>
      </c>
      <c r="AN14" s="33">
        <v>8</v>
      </c>
      <c r="AO14" s="33">
        <v>6</v>
      </c>
      <c r="AP14" s="33">
        <v>8</v>
      </c>
      <c r="AQ14" s="33">
        <v>8</v>
      </c>
      <c r="AR14" s="33">
        <v>4</v>
      </c>
      <c r="AS14" s="33">
        <v>6</v>
      </c>
      <c r="AT14" s="33">
        <v>6</v>
      </c>
      <c r="AU14" s="42">
        <v>4</v>
      </c>
      <c r="AV14" s="33">
        <v>5</v>
      </c>
      <c r="AW14" s="20">
        <v>5</v>
      </c>
      <c r="AX14" s="20">
        <v>6</v>
      </c>
      <c r="AY14" s="45">
        <v>5</v>
      </c>
      <c r="AZ14" s="20">
        <v>6</v>
      </c>
      <c r="BA14" s="82">
        <f t="shared" si="0"/>
        <v>5.9803921568627452</v>
      </c>
    </row>
    <row r="15" spans="1:53" x14ac:dyDescent="0.35">
      <c r="A15" s="29" t="s">
        <v>61</v>
      </c>
      <c r="B15" s="75">
        <v>5</v>
      </c>
      <c r="C15" s="33">
        <v>6</v>
      </c>
      <c r="D15" s="33">
        <v>7</v>
      </c>
      <c r="E15" s="33">
        <v>7</v>
      </c>
      <c r="F15" s="33">
        <v>8</v>
      </c>
      <c r="G15" s="33">
        <v>8</v>
      </c>
      <c r="H15" s="33">
        <v>9</v>
      </c>
      <c r="I15" s="33">
        <v>1</v>
      </c>
      <c r="J15" s="33">
        <v>3</v>
      </c>
      <c r="K15" s="33">
        <v>7</v>
      </c>
      <c r="L15" s="33">
        <v>7</v>
      </c>
      <c r="M15" s="33">
        <v>4</v>
      </c>
      <c r="N15" s="33">
        <v>7</v>
      </c>
      <c r="O15" s="33">
        <v>7</v>
      </c>
      <c r="P15" s="33">
        <v>4</v>
      </c>
      <c r="Q15" s="33">
        <v>5</v>
      </c>
      <c r="R15" s="33">
        <v>9</v>
      </c>
      <c r="S15" s="33">
        <v>7</v>
      </c>
      <c r="T15" s="33">
        <v>5</v>
      </c>
      <c r="U15" s="33">
        <v>5</v>
      </c>
      <c r="V15" s="33">
        <v>4</v>
      </c>
      <c r="W15" s="33">
        <v>1</v>
      </c>
      <c r="X15" s="33">
        <v>6</v>
      </c>
      <c r="Y15" s="33">
        <v>6</v>
      </c>
      <c r="Z15" s="33">
        <v>6</v>
      </c>
      <c r="AA15" s="33">
        <v>4</v>
      </c>
      <c r="AB15" s="33">
        <v>3</v>
      </c>
      <c r="AC15" s="33">
        <v>3</v>
      </c>
      <c r="AD15" s="33">
        <v>8</v>
      </c>
      <c r="AE15" s="33">
        <v>1</v>
      </c>
      <c r="AF15" s="33">
        <v>2</v>
      </c>
      <c r="AG15" s="33">
        <v>1</v>
      </c>
      <c r="AH15" s="33">
        <v>3</v>
      </c>
      <c r="AI15" s="33">
        <v>5</v>
      </c>
      <c r="AJ15" s="33">
        <v>4</v>
      </c>
      <c r="AK15" s="33">
        <v>1</v>
      </c>
      <c r="AL15" s="33">
        <v>4</v>
      </c>
      <c r="AM15" s="33">
        <v>2</v>
      </c>
      <c r="AN15" s="33">
        <v>3</v>
      </c>
      <c r="AO15" s="33">
        <v>6</v>
      </c>
      <c r="AP15" s="33">
        <v>8</v>
      </c>
      <c r="AQ15" s="33">
        <v>8</v>
      </c>
      <c r="AR15" s="33">
        <v>1</v>
      </c>
      <c r="AS15" s="33">
        <v>1</v>
      </c>
      <c r="AT15" s="33">
        <v>7</v>
      </c>
      <c r="AU15" s="42">
        <v>1</v>
      </c>
      <c r="AV15" s="33">
        <v>1</v>
      </c>
      <c r="AW15" s="20">
        <v>4</v>
      </c>
      <c r="AX15" s="20">
        <v>3</v>
      </c>
      <c r="AY15" s="45">
        <v>4</v>
      </c>
      <c r="AZ15" s="20">
        <v>6</v>
      </c>
      <c r="BA15" s="82">
        <f t="shared" si="0"/>
        <v>4.666666666666667</v>
      </c>
    </row>
    <row r="16" spans="1:53" x14ac:dyDescent="0.35">
      <c r="A16" s="29" t="s">
        <v>62</v>
      </c>
      <c r="B16" s="75">
        <v>6</v>
      </c>
      <c r="C16" s="33">
        <v>8</v>
      </c>
      <c r="D16" s="33">
        <v>8</v>
      </c>
      <c r="E16" s="33">
        <v>8</v>
      </c>
      <c r="F16" s="33">
        <v>8</v>
      </c>
      <c r="G16" s="33">
        <v>7</v>
      </c>
      <c r="H16" s="33">
        <v>9</v>
      </c>
      <c r="I16" s="33">
        <v>1</v>
      </c>
      <c r="J16" s="33">
        <v>5</v>
      </c>
      <c r="K16" s="33">
        <v>8</v>
      </c>
      <c r="L16" s="33">
        <v>8</v>
      </c>
      <c r="M16" s="33">
        <v>4</v>
      </c>
      <c r="N16" s="33">
        <v>7</v>
      </c>
      <c r="O16" s="33">
        <v>4</v>
      </c>
      <c r="P16" s="33">
        <v>4</v>
      </c>
      <c r="Q16" s="33">
        <v>4</v>
      </c>
      <c r="R16" s="33">
        <v>5</v>
      </c>
      <c r="S16" s="33">
        <v>5</v>
      </c>
      <c r="T16" s="33">
        <v>8</v>
      </c>
      <c r="U16" s="33">
        <v>5</v>
      </c>
      <c r="V16" s="33">
        <v>9</v>
      </c>
      <c r="W16" s="33">
        <v>6</v>
      </c>
      <c r="X16" s="33">
        <v>7</v>
      </c>
      <c r="Y16" s="33">
        <v>1</v>
      </c>
      <c r="Z16" s="33">
        <v>5</v>
      </c>
      <c r="AA16" s="33">
        <v>8</v>
      </c>
      <c r="AB16" s="33">
        <v>5</v>
      </c>
      <c r="AC16" s="33">
        <v>7</v>
      </c>
      <c r="AD16" s="33">
        <v>6</v>
      </c>
      <c r="AE16" s="33">
        <v>1</v>
      </c>
      <c r="AF16" s="33">
        <v>1</v>
      </c>
      <c r="AG16" s="33">
        <v>1</v>
      </c>
      <c r="AH16" s="33">
        <v>1</v>
      </c>
      <c r="AI16" s="33">
        <v>6</v>
      </c>
      <c r="AJ16" s="33">
        <v>6</v>
      </c>
      <c r="AK16" s="33">
        <v>6</v>
      </c>
      <c r="AL16" s="33">
        <v>6</v>
      </c>
      <c r="AM16" s="33">
        <v>7</v>
      </c>
      <c r="AN16" s="33">
        <v>4</v>
      </c>
      <c r="AO16" s="33">
        <v>7</v>
      </c>
      <c r="AP16" s="33">
        <v>8</v>
      </c>
      <c r="AQ16" s="33">
        <v>8</v>
      </c>
      <c r="AR16" s="33">
        <v>4</v>
      </c>
      <c r="AS16" s="33">
        <v>3</v>
      </c>
      <c r="AT16" s="33">
        <v>7</v>
      </c>
      <c r="AU16" s="42">
        <v>2</v>
      </c>
      <c r="AV16" s="33">
        <v>8</v>
      </c>
      <c r="AW16" s="20">
        <v>8</v>
      </c>
      <c r="AX16" s="20">
        <v>7</v>
      </c>
      <c r="AY16" s="45">
        <v>7</v>
      </c>
      <c r="AZ16" s="20">
        <v>8</v>
      </c>
      <c r="BA16" s="82">
        <f t="shared" si="0"/>
        <v>5.7254901960784315</v>
      </c>
    </row>
    <row r="17" spans="1:53" x14ac:dyDescent="0.35">
      <c r="A17" s="29" t="s">
        <v>63</v>
      </c>
      <c r="B17" s="75">
        <v>7</v>
      </c>
      <c r="C17" s="33">
        <v>9</v>
      </c>
      <c r="D17" s="33">
        <v>8</v>
      </c>
      <c r="E17" s="33">
        <v>8</v>
      </c>
      <c r="F17" s="33">
        <v>8</v>
      </c>
      <c r="G17" s="33">
        <v>7</v>
      </c>
      <c r="H17" s="33">
        <v>7</v>
      </c>
      <c r="I17" s="33">
        <v>6</v>
      </c>
      <c r="J17" s="33">
        <v>6</v>
      </c>
      <c r="K17" s="33">
        <v>6</v>
      </c>
      <c r="L17" s="33">
        <v>5</v>
      </c>
      <c r="M17" s="33">
        <v>6</v>
      </c>
      <c r="N17" s="33">
        <v>5</v>
      </c>
      <c r="O17" s="33">
        <v>7</v>
      </c>
      <c r="P17" s="33">
        <v>6</v>
      </c>
      <c r="Q17" s="33">
        <v>6</v>
      </c>
      <c r="R17" s="33">
        <v>6</v>
      </c>
      <c r="S17" s="33">
        <v>6</v>
      </c>
      <c r="T17" s="33">
        <v>8</v>
      </c>
      <c r="U17" s="33">
        <v>8</v>
      </c>
      <c r="V17" s="33">
        <v>7</v>
      </c>
      <c r="W17" s="33">
        <v>7</v>
      </c>
      <c r="X17" s="33">
        <v>7</v>
      </c>
      <c r="Y17" s="33">
        <v>7</v>
      </c>
      <c r="Z17" s="33">
        <v>6</v>
      </c>
      <c r="AA17" s="33">
        <v>7</v>
      </c>
      <c r="AB17" s="33">
        <v>7</v>
      </c>
      <c r="AC17" s="33">
        <v>7</v>
      </c>
      <c r="AD17" s="33">
        <v>6</v>
      </c>
      <c r="AE17" s="33">
        <v>6</v>
      </c>
      <c r="AF17" s="33">
        <v>6</v>
      </c>
      <c r="AG17" s="33">
        <v>6</v>
      </c>
      <c r="AH17" s="33">
        <v>5</v>
      </c>
      <c r="AI17" s="33">
        <v>5</v>
      </c>
      <c r="AJ17" s="33">
        <v>5</v>
      </c>
      <c r="AK17" s="33">
        <v>5</v>
      </c>
      <c r="AL17" s="33">
        <v>5</v>
      </c>
      <c r="AM17" s="33">
        <v>7</v>
      </c>
      <c r="AN17" s="33">
        <v>7</v>
      </c>
      <c r="AO17" s="33">
        <v>7</v>
      </c>
      <c r="AP17" s="33">
        <v>7</v>
      </c>
      <c r="AQ17" s="33">
        <v>7</v>
      </c>
      <c r="AR17" s="33">
        <v>5</v>
      </c>
      <c r="AS17" s="33">
        <v>5</v>
      </c>
      <c r="AT17" s="33">
        <v>5</v>
      </c>
      <c r="AU17" s="42">
        <v>5</v>
      </c>
      <c r="AV17" s="33">
        <v>7</v>
      </c>
      <c r="AW17" s="20">
        <v>7</v>
      </c>
      <c r="AX17" s="20">
        <v>7</v>
      </c>
      <c r="AY17" s="45">
        <v>7</v>
      </c>
      <c r="AZ17" s="20">
        <v>8</v>
      </c>
      <c r="BA17" s="82">
        <f t="shared" si="0"/>
        <v>6.4705882352941178</v>
      </c>
    </row>
    <row r="18" spans="1:53" x14ac:dyDescent="0.35">
      <c r="A18" s="29" t="s">
        <v>64</v>
      </c>
      <c r="B18" s="75">
        <v>5</v>
      </c>
      <c r="C18" s="33">
        <v>6</v>
      </c>
      <c r="D18" s="33">
        <v>7</v>
      </c>
      <c r="E18" s="33">
        <v>7</v>
      </c>
      <c r="F18" s="33">
        <v>7</v>
      </c>
      <c r="G18" s="33">
        <v>8</v>
      </c>
      <c r="H18" s="33">
        <v>7</v>
      </c>
      <c r="I18" s="33">
        <v>1</v>
      </c>
      <c r="J18" s="33">
        <v>4</v>
      </c>
      <c r="K18" s="33">
        <v>6</v>
      </c>
      <c r="L18" s="33">
        <v>2</v>
      </c>
      <c r="M18" s="33">
        <v>5</v>
      </c>
      <c r="N18" s="33">
        <v>6</v>
      </c>
      <c r="O18" s="33">
        <v>7</v>
      </c>
      <c r="P18" s="33">
        <v>3</v>
      </c>
      <c r="Q18" s="33">
        <v>4</v>
      </c>
      <c r="R18" s="33">
        <v>5</v>
      </c>
      <c r="S18" s="33">
        <v>7</v>
      </c>
      <c r="T18" s="33">
        <v>5</v>
      </c>
      <c r="U18" s="33">
        <v>3</v>
      </c>
      <c r="V18" s="33">
        <v>3</v>
      </c>
      <c r="W18" s="33">
        <v>7</v>
      </c>
      <c r="X18" s="33">
        <v>5</v>
      </c>
      <c r="Y18" s="33">
        <v>5</v>
      </c>
      <c r="Z18" s="33">
        <v>5</v>
      </c>
      <c r="AA18" s="33">
        <v>8</v>
      </c>
      <c r="AB18" s="33">
        <v>2</v>
      </c>
      <c r="AC18" s="33">
        <v>6</v>
      </c>
      <c r="AD18" s="33">
        <v>6</v>
      </c>
      <c r="AE18" s="33">
        <v>1</v>
      </c>
      <c r="AF18" s="33">
        <v>1</v>
      </c>
      <c r="AG18" s="33">
        <v>1</v>
      </c>
      <c r="AH18" s="33">
        <v>1</v>
      </c>
      <c r="AI18" s="33">
        <v>5</v>
      </c>
      <c r="AJ18" s="33">
        <v>3</v>
      </c>
      <c r="AK18" s="33">
        <v>3</v>
      </c>
      <c r="AL18" s="33">
        <v>5</v>
      </c>
      <c r="AM18" s="33">
        <v>6</v>
      </c>
      <c r="AN18" s="33">
        <v>3</v>
      </c>
      <c r="AO18" s="33">
        <v>8</v>
      </c>
      <c r="AP18" s="33">
        <v>6</v>
      </c>
      <c r="AQ18" s="33">
        <v>7</v>
      </c>
      <c r="AR18" s="33">
        <v>4</v>
      </c>
      <c r="AS18" s="33">
        <v>4</v>
      </c>
      <c r="AT18" s="33">
        <v>7</v>
      </c>
      <c r="AU18" s="42">
        <v>4</v>
      </c>
      <c r="AV18" s="33">
        <v>5</v>
      </c>
      <c r="AW18" s="20">
        <v>5</v>
      </c>
      <c r="AX18" s="20">
        <v>5</v>
      </c>
      <c r="AY18" s="45">
        <v>6</v>
      </c>
      <c r="AZ18" s="20">
        <v>6</v>
      </c>
      <c r="BA18" s="82">
        <f t="shared" si="0"/>
        <v>4.8627450980392153</v>
      </c>
    </row>
    <row r="19" spans="1:53" s="80" customFormat="1" x14ac:dyDescent="0.35">
      <c r="A19" s="78" t="s">
        <v>285</v>
      </c>
      <c r="B19" s="79">
        <f>SUM(B2:B18)/17</f>
        <v>6</v>
      </c>
      <c r="C19" s="79">
        <f t="shared" ref="C19:AZ19" si="1">SUM(C2:C18)/17</f>
        <v>6.8235294117647056</v>
      </c>
      <c r="D19" s="79">
        <f t="shared" si="1"/>
        <v>7.2941176470588234</v>
      </c>
      <c r="E19" s="79">
        <f t="shared" si="1"/>
        <v>7</v>
      </c>
      <c r="F19" s="79">
        <f t="shared" si="1"/>
        <v>7.3529411764705879</v>
      </c>
      <c r="G19" s="79">
        <f t="shared" si="1"/>
        <v>7.117647058823529</v>
      </c>
      <c r="H19" s="79">
        <f t="shared" si="1"/>
        <v>7.5882352941176467</v>
      </c>
      <c r="I19" s="79">
        <f t="shared" si="1"/>
        <v>4.6470588235294121</v>
      </c>
      <c r="J19" s="79">
        <f t="shared" si="1"/>
        <v>5.3529411764705879</v>
      </c>
      <c r="K19" s="79">
        <f t="shared" si="1"/>
        <v>6.5294117647058822</v>
      </c>
      <c r="L19" s="79">
        <f t="shared" si="1"/>
        <v>4.9411764705882355</v>
      </c>
      <c r="M19" s="79">
        <f t="shared" si="1"/>
        <v>5.5294117647058822</v>
      </c>
      <c r="N19" s="79">
        <f t="shared" si="1"/>
        <v>6.4117647058823533</v>
      </c>
      <c r="O19" s="79">
        <f t="shared" si="1"/>
        <v>5.5882352941176467</v>
      </c>
      <c r="P19" s="79">
        <f t="shared" si="1"/>
        <v>4.9411764705882355</v>
      </c>
      <c r="Q19" s="79">
        <f t="shared" si="1"/>
        <v>4.5294117647058822</v>
      </c>
      <c r="R19" s="79">
        <f t="shared" si="1"/>
        <v>5.7058823529411766</v>
      </c>
      <c r="S19" s="79">
        <f t="shared" si="1"/>
        <v>5.5294117647058822</v>
      </c>
      <c r="T19" s="79">
        <f t="shared" si="1"/>
        <v>4.1764705882352944</v>
      </c>
      <c r="U19" s="79">
        <f t="shared" si="1"/>
        <v>3.9411764705882355</v>
      </c>
      <c r="V19" s="79">
        <f t="shared" si="1"/>
        <v>3.5882352941176472</v>
      </c>
      <c r="W19" s="79">
        <f t="shared" si="1"/>
        <v>4.117647058823529</v>
      </c>
      <c r="X19" s="79">
        <f t="shared" si="1"/>
        <v>5.0588235294117645</v>
      </c>
      <c r="Y19" s="79">
        <f t="shared" si="1"/>
        <v>4.4117647058823533</v>
      </c>
      <c r="Z19" s="79">
        <f t="shared" si="1"/>
        <v>4.9411764705882355</v>
      </c>
      <c r="AA19" s="79">
        <f t="shared" si="1"/>
        <v>5.7647058823529411</v>
      </c>
      <c r="AB19" s="79">
        <f t="shared" si="1"/>
        <v>3.3529411764705883</v>
      </c>
      <c r="AC19" s="79">
        <f t="shared" si="1"/>
        <v>4.5882352941176467</v>
      </c>
      <c r="AD19" s="79">
        <f t="shared" si="1"/>
        <v>4.7647058823529411</v>
      </c>
      <c r="AE19" s="79">
        <f t="shared" si="1"/>
        <v>2.0588235294117645</v>
      </c>
      <c r="AF19" s="79">
        <f t="shared" si="1"/>
        <v>1.8823529411764706</v>
      </c>
      <c r="AG19" s="79">
        <f t="shared" si="1"/>
        <v>1.8235294117647058</v>
      </c>
      <c r="AH19" s="79">
        <f t="shared" si="1"/>
        <v>1.8823529411764706</v>
      </c>
      <c r="AI19" s="79">
        <f t="shared" si="1"/>
        <v>4.2941176470588234</v>
      </c>
      <c r="AJ19" s="79">
        <f t="shared" si="1"/>
        <v>3.5294117647058822</v>
      </c>
      <c r="AK19" s="79">
        <f t="shared" si="1"/>
        <v>2.5882352941176472</v>
      </c>
      <c r="AL19" s="79">
        <f t="shared" si="1"/>
        <v>3.2352941176470589</v>
      </c>
      <c r="AM19" s="79">
        <f t="shared" si="1"/>
        <v>5.3529411764705879</v>
      </c>
      <c r="AN19" s="79">
        <f t="shared" si="1"/>
        <v>4.5882352941176467</v>
      </c>
      <c r="AO19" s="79">
        <f t="shared" si="1"/>
        <v>4.5294117647058822</v>
      </c>
      <c r="AP19" s="79">
        <f t="shared" si="1"/>
        <v>6.117647058823529</v>
      </c>
      <c r="AQ19" s="79">
        <f t="shared" si="1"/>
        <v>6.8235294117647056</v>
      </c>
      <c r="AR19" s="79">
        <f t="shared" si="1"/>
        <v>2.6470588235294117</v>
      </c>
      <c r="AS19" s="79">
        <f t="shared" si="1"/>
        <v>2.7647058823529411</v>
      </c>
      <c r="AT19" s="79">
        <f t="shared" si="1"/>
        <v>5.5294117647058822</v>
      </c>
      <c r="AU19" s="79">
        <f t="shared" si="1"/>
        <v>2.4705882352941178</v>
      </c>
      <c r="AV19" s="79">
        <f t="shared" si="1"/>
        <v>5.4705882352941178</v>
      </c>
      <c r="AW19" s="79">
        <f t="shared" si="1"/>
        <v>5.7647058823529411</v>
      </c>
      <c r="AX19" s="79">
        <f t="shared" si="1"/>
        <v>6</v>
      </c>
      <c r="AY19" s="79">
        <f t="shared" si="1"/>
        <v>4.5294117647058822</v>
      </c>
      <c r="AZ19" s="79">
        <f t="shared" si="1"/>
        <v>5.2941176470588234</v>
      </c>
      <c r="BA19" s="8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A796-FBD7-3845-9C25-D91224730D70}">
  <sheetPr codeName="Sheet7"/>
  <dimension ref="A1:B151"/>
  <sheetViews>
    <sheetView zoomScale="85" zoomScaleNormal="85" workbookViewId="0">
      <pane xSplit="1" ySplit="1" topLeftCell="B118" activePane="bottomRight" state="frozen"/>
      <selection pane="topRight" activeCell="B1" sqref="B1"/>
      <selection pane="bottomLeft" activeCell="A2" sqref="A2"/>
      <selection pane="bottomRight" activeCell="B148" sqref="B148:B151"/>
    </sheetView>
  </sheetViews>
  <sheetFormatPr defaultColWidth="11.453125" defaultRowHeight="14.5" x14ac:dyDescent="0.35"/>
  <cols>
    <col min="1" max="1" width="30.1796875" style="9" bestFit="1" customWidth="1"/>
    <col min="2" max="2" width="66.1796875" style="3" customWidth="1"/>
  </cols>
  <sheetData>
    <row r="1" spans="1:2" ht="15" thickBot="1" x14ac:dyDescent="0.4">
      <c r="A1" s="15" t="s">
        <v>65</v>
      </c>
      <c r="B1" s="16" t="s">
        <v>66</v>
      </c>
    </row>
    <row r="2" spans="1:2" x14ac:dyDescent="0.35">
      <c r="A2" s="64" t="s">
        <v>2</v>
      </c>
      <c r="B2" s="10" t="s">
        <v>67</v>
      </c>
    </row>
    <row r="3" spans="1:2" ht="26.25" customHeight="1" x14ac:dyDescent="0.35">
      <c r="A3" s="65"/>
      <c r="B3" s="11" t="s">
        <v>68</v>
      </c>
    </row>
    <row r="4" spans="1:2" ht="21" customHeight="1" x14ac:dyDescent="0.35">
      <c r="A4" s="66"/>
      <c r="B4" s="12" t="s">
        <v>69</v>
      </c>
    </row>
    <row r="5" spans="1:2" x14ac:dyDescent="0.35">
      <c r="A5" s="64" t="s">
        <v>70</v>
      </c>
      <c r="B5" s="10" t="s">
        <v>71</v>
      </c>
    </row>
    <row r="6" spans="1:2" x14ac:dyDescent="0.35">
      <c r="A6" s="65"/>
      <c r="B6" s="11" t="s">
        <v>72</v>
      </c>
    </row>
    <row r="7" spans="1:2" x14ac:dyDescent="0.35">
      <c r="A7" s="65"/>
      <c r="B7" s="11" t="s">
        <v>73</v>
      </c>
    </row>
    <row r="8" spans="1:2" x14ac:dyDescent="0.35">
      <c r="A8" s="65"/>
      <c r="B8" s="11" t="s">
        <v>74</v>
      </c>
    </row>
    <row r="9" spans="1:2" x14ac:dyDescent="0.35">
      <c r="A9" s="65"/>
      <c r="B9" s="11" t="s">
        <v>75</v>
      </c>
    </row>
    <row r="10" spans="1:2" x14ac:dyDescent="0.35">
      <c r="A10" s="65"/>
      <c r="B10" s="11" t="s">
        <v>76</v>
      </c>
    </row>
    <row r="11" spans="1:2" ht="15" thickBot="1" x14ac:dyDescent="0.4">
      <c r="A11" s="66"/>
      <c r="B11" s="12" t="s">
        <v>77</v>
      </c>
    </row>
    <row r="12" spans="1:2" x14ac:dyDescent="0.35">
      <c r="A12" s="64" t="s">
        <v>78</v>
      </c>
      <c r="B12" s="10" t="s">
        <v>79</v>
      </c>
    </row>
    <row r="13" spans="1:2" x14ac:dyDescent="0.35">
      <c r="A13" s="65"/>
      <c r="B13" s="11" t="s">
        <v>80</v>
      </c>
    </row>
    <row r="14" spans="1:2" x14ac:dyDescent="0.35">
      <c r="A14" s="65"/>
      <c r="B14" s="11" t="s">
        <v>81</v>
      </c>
    </row>
    <row r="15" spans="1:2" x14ac:dyDescent="0.35">
      <c r="A15" s="65"/>
      <c r="B15" s="11" t="s">
        <v>82</v>
      </c>
    </row>
    <row r="16" spans="1:2" ht="15" thickBot="1" x14ac:dyDescent="0.4">
      <c r="A16" s="66"/>
      <c r="B16" s="12" t="s">
        <v>83</v>
      </c>
    </row>
    <row r="17" spans="1:2" x14ac:dyDescent="0.35">
      <c r="A17" s="64" t="s">
        <v>84</v>
      </c>
      <c r="B17" s="10" t="s">
        <v>85</v>
      </c>
    </row>
    <row r="18" spans="1:2" x14ac:dyDescent="0.35">
      <c r="A18" s="65"/>
      <c r="B18" s="11" t="s">
        <v>86</v>
      </c>
    </row>
    <row r="19" spans="1:2" x14ac:dyDescent="0.35">
      <c r="A19" s="65"/>
      <c r="B19" s="11" t="s">
        <v>87</v>
      </c>
    </row>
    <row r="20" spans="1:2" x14ac:dyDescent="0.35">
      <c r="A20" s="65"/>
      <c r="B20" s="11" t="s">
        <v>88</v>
      </c>
    </row>
    <row r="21" spans="1:2" x14ac:dyDescent="0.35">
      <c r="A21" s="65"/>
      <c r="B21" s="11" t="s">
        <v>89</v>
      </c>
    </row>
    <row r="22" spans="1:2" x14ac:dyDescent="0.35">
      <c r="A22" s="65"/>
      <c r="B22" s="11" t="s">
        <v>90</v>
      </c>
    </row>
    <row r="23" spans="1:2" x14ac:dyDescent="0.35">
      <c r="A23" s="65"/>
      <c r="B23" s="11" t="s">
        <v>91</v>
      </c>
    </row>
    <row r="24" spans="1:2" x14ac:dyDescent="0.35">
      <c r="A24" s="65"/>
      <c r="B24" s="11" t="s">
        <v>92</v>
      </c>
    </row>
    <row r="25" spans="1:2" x14ac:dyDescent="0.35">
      <c r="A25" s="65"/>
      <c r="B25" s="11" t="s">
        <v>93</v>
      </c>
    </row>
    <row r="26" spans="1:2" x14ac:dyDescent="0.35">
      <c r="A26" s="65"/>
      <c r="B26" s="11" t="s">
        <v>94</v>
      </c>
    </row>
    <row r="27" spans="1:2" x14ac:dyDescent="0.35">
      <c r="A27" s="65"/>
      <c r="B27" s="11" t="s">
        <v>95</v>
      </c>
    </row>
    <row r="28" spans="1:2" ht="15" thickBot="1" x14ac:dyDescent="0.4">
      <c r="A28" s="66"/>
      <c r="B28" s="12" t="s">
        <v>96</v>
      </c>
    </row>
    <row r="29" spans="1:2" x14ac:dyDescent="0.35">
      <c r="A29" s="64" t="s">
        <v>6</v>
      </c>
      <c r="B29" s="10" t="s">
        <v>97</v>
      </c>
    </row>
    <row r="30" spans="1:2" x14ac:dyDescent="0.35">
      <c r="A30" s="65"/>
      <c r="B30" s="11" t="s">
        <v>98</v>
      </c>
    </row>
    <row r="31" spans="1:2" x14ac:dyDescent="0.35">
      <c r="A31" s="65"/>
      <c r="B31" s="11" t="s">
        <v>99</v>
      </c>
    </row>
    <row r="32" spans="1:2" x14ac:dyDescent="0.35">
      <c r="A32" s="65"/>
      <c r="B32" s="11" t="s">
        <v>100</v>
      </c>
    </row>
    <row r="33" spans="1:2" x14ac:dyDescent="0.35">
      <c r="A33" s="65"/>
      <c r="B33" s="11" t="s">
        <v>101</v>
      </c>
    </row>
    <row r="34" spans="1:2" x14ac:dyDescent="0.35">
      <c r="A34" s="65"/>
      <c r="B34" s="11" t="s">
        <v>102</v>
      </c>
    </row>
    <row r="35" spans="1:2" x14ac:dyDescent="0.35">
      <c r="A35" s="65"/>
      <c r="B35" s="11" t="s">
        <v>103</v>
      </c>
    </row>
    <row r="36" spans="1:2" x14ac:dyDescent="0.35">
      <c r="A36" s="65"/>
      <c r="B36" s="11" t="s">
        <v>104</v>
      </c>
    </row>
    <row r="37" spans="1:2" x14ac:dyDescent="0.35">
      <c r="A37" s="65"/>
      <c r="B37" s="11" t="s">
        <v>105</v>
      </c>
    </row>
    <row r="38" spans="1:2" x14ac:dyDescent="0.35">
      <c r="A38" s="65"/>
      <c r="B38" s="11" t="s">
        <v>106</v>
      </c>
    </row>
    <row r="39" spans="1:2" x14ac:dyDescent="0.35">
      <c r="A39" s="65"/>
      <c r="B39" s="11" t="s">
        <v>107</v>
      </c>
    </row>
    <row r="40" spans="1:2" x14ac:dyDescent="0.35">
      <c r="A40" s="65"/>
      <c r="B40" s="11" t="s">
        <v>108</v>
      </c>
    </row>
    <row r="41" spans="1:2" x14ac:dyDescent="0.35">
      <c r="A41" s="65"/>
      <c r="B41" s="11" t="s">
        <v>109</v>
      </c>
    </row>
    <row r="42" spans="1:2" x14ac:dyDescent="0.35">
      <c r="A42" s="65"/>
      <c r="B42" s="11" t="s">
        <v>110</v>
      </c>
    </row>
    <row r="43" spans="1:2" x14ac:dyDescent="0.35">
      <c r="A43" s="65"/>
      <c r="B43" s="11" t="s">
        <v>111</v>
      </c>
    </row>
    <row r="44" spans="1:2" ht="15" thickBot="1" x14ac:dyDescent="0.4">
      <c r="A44" s="66"/>
      <c r="B44" s="12" t="s">
        <v>112</v>
      </c>
    </row>
    <row r="45" spans="1:2" x14ac:dyDescent="0.35">
      <c r="A45" s="64" t="s">
        <v>7</v>
      </c>
      <c r="B45" s="10" t="s">
        <v>113</v>
      </c>
    </row>
    <row r="46" spans="1:2" x14ac:dyDescent="0.35">
      <c r="A46" s="65"/>
      <c r="B46" s="11" t="s">
        <v>114</v>
      </c>
    </row>
    <row r="47" spans="1:2" x14ac:dyDescent="0.35">
      <c r="A47" s="65"/>
      <c r="B47" s="11" t="s">
        <v>115</v>
      </c>
    </row>
    <row r="48" spans="1:2" ht="15" thickBot="1" x14ac:dyDescent="0.4">
      <c r="A48" s="66"/>
      <c r="B48" s="12" t="s">
        <v>116</v>
      </c>
    </row>
    <row r="49" spans="1:2" x14ac:dyDescent="0.35">
      <c r="A49" s="64" t="s">
        <v>8</v>
      </c>
      <c r="B49" s="10" t="s">
        <v>117</v>
      </c>
    </row>
    <row r="50" spans="1:2" x14ac:dyDescent="0.35">
      <c r="A50" s="65"/>
      <c r="B50" s="11" t="s">
        <v>118</v>
      </c>
    </row>
    <row r="51" spans="1:2" ht="15" thickBot="1" x14ac:dyDescent="0.4">
      <c r="A51" s="66"/>
      <c r="B51" s="12" t="s">
        <v>112</v>
      </c>
    </row>
    <row r="52" spans="1:2" x14ac:dyDescent="0.35">
      <c r="A52" s="64" t="s">
        <v>119</v>
      </c>
      <c r="B52" s="10" t="s">
        <v>120</v>
      </c>
    </row>
    <row r="53" spans="1:2" x14ac:dyDescent="0.35">
      <c r="A53" s="65"/>
      <c r="B53" s="11" t="s">
        <v>121</v>
      </c>
    </row>
    <row r="54" spans="1:2" x14ac:dyDescent="0.35">
      <c r="A54" s="65"/>
      <c r="B54" s="11" t="s">
        <v>122</v>
      </c>
    </row>
    <row r="55" spans="1:2" x14ac:dyDescent="0.35">
      <c r="A55" s="65"/>
      <c r="B55" s="11" t="s">
        <v>123</v>
      </c>
    </row>
    <row r="56" spans="1:2" x14ac:dyDescent="0.35">
      <c r="A56" s="65"/>
      <c r="B56" s="11" t="s">
        <v>124</v>
      </c>
    </row>
    <row r="57" spans="1:2" x14ac:dyDescent="0.35">
      <c r="A57" s="65"/>
      <c r="B57" s="11" t="s">
        <v>125</v>
      </c>
    </row>
    <row r="58" spans="1:2" ht="15" thickBot="1" x14ac:dyDescent="0.4">
      <c r="A58" s="66"/>
      <c r="B58" s="12" t="s">
        <v>126</v>
      </c>
    </row>
    <row r="59" spans="1:2" x14ac:dyDescent="0.35">
      <c r="A59" s="64" t="s">
        <v>10</v>
      </c>
      <c r="B59" s="10" t="s">
        <v>127</v>
      </c>
    </row>
    <row r="60" spans="1:2" x14ac:dyDescent="0.35">
      <c r="A60" s="65"/>
      <c r="B60" s="11" t="s">
        <v>128</v>
      </c>
    </row>
    <row r="61" spans="1:2" x14ac:dyDescent="0.35">
      <c r="A61" s="65"/>
      <c r="B61" s="11" t="s">
        <v>129</v>
      </c>
    </row>
    <row r="62" spans="1:2" ht="15" thickBot="1" x14ac:dyDescent="0.4">
      <c r="A62" s="66"/>
      <c r="B62" s="12" t="s">
        <v>130</v>
      </c>
    </row>
    <row r="63" spans="1:2" x14ac:dyDescent="0.35">
      <c r="A63" s="64" t="s">
        <v>11</v>
      </c>
      <c r="B63" s="10" t="s">
        <v>131</v>
      </c>
    </row>
    <row r="64" spans="1:2" x14ac:dyDescent="0.35">
      <c r="A64" s="65"/>
      <c r="B64" s="11" t="s">
        <v>132</v>
      </c>
    </row>
    <row r="65" spans="1:2" x14ac:dyDescent="0.35">
      <c r="A65" s="65"/>
      <c r="B65" s="11" t="s">
        <v>133</v>
      </c>
    </row>
    <row r="66" spans="1:2" x14ac:dyDescent="0.35">
      <c r="A66" s="65"/>
      <c r="B66" s="11" t="s">
        <v>113</v>
      </c>
    </row>
    <row r="67" spans="1:2" x14ac:dyDescent="0.35">
      <c r="A67" s="65"/>
      <c r="B67" s="11" t="s">
        <v>134</v>
      </c>
    </row>
    <row r="68" spans="1:2" x14ac:dyDescent="0.35">
      <c r="A68" s="65"/>
      <c r="B68" s="11" t="s">
        <v>135</v>
      </c>
    </row>
    <row r="69" spans="1:2" ht="15" thickBot="1" x14ac:dyDescent="0.4">
      <c r="A69" s="66"/>
      <c r="B69" s="12" t="s">
        <v>136</v>
      </c>
    </row>
    <row r="70" spans="1:2" x14ac:dyDescent="0.35">
      <c r="A70" s="64" t="s">
        <v>12</v>
      </c>
      <c r="B70" s="10" t="s">
        <v>137</v>
      </c>
    </row>
    <row r="71" spans="1:2" x14ac:dyDescent="0.35">
      <c r="A71" s="65"/>
      <c r="B71" s="11" t="s">
        <v>138</v>
      </c>
    </row>
    <row r="72" spans="1:2" x14ac:dyDescent="0.35">
      <c r="A72" s="65"/>
      <c r="B72" s="11" t="s">
        <v>139</v>
      </c>
    </row>
    <row r="73" spans="1:2" x14ac:dyDescent="0.35">
      <c r="A73" s="65"/>
      <c r="B73" s="11" t="s">
        <v>140</v>
      </c>
    </row>
    <row r="74" spans="1:2" ht="15" thickBot="1" x14ac:dyDescent="0.4">
      <c r="A74" s="66"/>
      <c r="B74" s="12" t="s">
        <v>141</v>
      </c>
    </row>
    <row r="75" spans="1:2" x14ac:dyDescent="0.35">
      <c r="A75" s="64" t="s">
        <v>13</v>
      </c>
      <c r="B75" s="10" t="s">
        <v>142</v>
      </c>
    </row>
    <row r="76" spans="1:2" x14ac:dyDescent="0.35">
      <c r="A76" s="65"/>
      <c r="B76" s="11" t="s">
        <v>143</v>
      </c>
    </row>
    <row r="77" spans="1:2" x14ac:dyDescent="0.35">
      <c r="A77" s="65"/>
      <c r="B77" s="11" t="s">
        <v>144</v>
      </c>
    </row>
    <row r="78" spans="1:2" x14ac:dyDescent="0.35">
      <c r="A78" s="65"/>
      <c r="B78" s="11" t="s">
        <v>145</v>
      </c>
    </row>
    <row r="79" spans="1:2" x14ac:dyDescent="0.35">
      <c r="A79" s="65"/>
      <c r="B79" s="11" t="s">
        <v>146</v>
      </c>
    </row>
    <row r="80" spans="1:2" ht="15" thickBot="1" x14ac:dyDescent="0.4">
      <c r="A80" s="66"/>
      <c r="B80" s="12" t="s">
        <v>141</v>
      </c>
    </row>
    <row r="81" spans="1:2" x14ac:dyDescent="0.35">
      <c r="A81" s="64" t="s">
        <v>14</v>
      </c>
      <c r="B81" s="10" t="s">
        <v>147</v>
      </c>
    </row>
    <row r="82" spans="1:2" x14ac:dyDescent="0.35">
      <c r="A82" s="65"/>
      <c r="B82" s="11" t="s">
        <v>148</v>
      </c>
    </row>
    <row r="83" spans="1:2" x14ac:dyDescent="0.35">
      <c r="A83" s="65"/>
      <c r="B83" s="11" t="s">
        <v>149</v>
      </c>
    </row>
    <row r="84" spans="1:2" x14ac:dyDescent="0.35">
      <c r="A84" s="65"/>
      <c r="B84" s="11" t="s">
        <v>150</v>
      </c>
    </row>
    <row r="85" spans="1:2" ht="15" thickBot="1" x14ac:dyDescent="0.4">
      <c r="A85" s="66"/>
      <c r="B85" s="12" t="s">
        <v>151</v>
      </c>
    </row>
    <row r="86" spans="1:2" x14ac:dyDescent="0.35">
      <c r="A86" s="64" t="s">
        <v>15</v>
      </c>
      <c r="B86" s="10" t="s">
        <v>152</v>
      </c>
    </row>
    <row r="87" spans="1:2" ht="15" thickBot="1" x14ac:dyDescent="0.4">
      <c r="A87" s="66"/>
      <c r="B87" s="12" t="s">
        <v>153</v>
      </c>
    </row>
    <row r="88" spans="1:2" x14ac:dyDescent="0.35">
      <c r="A88" s="64" t="s">
        <v>16</v>
      </c>
      <c r="B88" s="10" t="s">
        <v>154</v>
      </c>
    </row>
    <row r="89" spans="1:2" x14ac:dyDescent="0.35">
      <c r="A89" s="65"/>
      <c r="B89" s="11" t="s">
        <v>155</v>
      </c>
    </row>
    <row r="90" spans="1:2" ht="15" thickBot="1" x14ac:dyDescent="0.4">
      <c r="A90" s="66"/>
      <c r="B90" s="12" t="s">
        <v>156</v>
      </c>
    </row>
    <row r="91" spans="1:2" x14ac:dyDescent="0.35">
      <c r="A91" s="64" t="s">
        <v>17</v>
      </c>
      <c r="B91" s="10" t="s">
        <v>157</v>
      </c>
    </row>
    <row r="92" spans="1:2" ht="15" thickBot="1" x14ac:dyDescent="0.4">
      <c r="A92" s="66"/>
      <c r="B92" s="12" t="s">
        <v>158</v>
      </c>
    </row>
    <row r="93" spans="1:2" x14ac:dyDescent="0.35">
      <c r="A93" s="64" t="s">
        <v>18</v>
      </c>
      <c r="B93" s="10" t="s">
        <v>159</v>
      </c>
    </row>
    <row r="94" spans="1:2" x14ac:dyDescent="0.35">
      <c r="A94" s="65"/>
      <c r="B94" s="11" t="s">
        <v>160</v>
      </c>
    </row>
    <row r="95" spans="1:2" ht="15" thickBot="1" x14ac:dyDescent="0.4">
      <c r="A95" s="66"/>
      <c r="B95" s="12" t="s">
        <v>161</v>
      </c>
    </row>
    <row r="96" spans="1:2" x14ac:dyDescent="0.35">
      <c r="A96" s="64" t="s">
        <v>19</v>
      </c>
      <c r="B96" s="10" t="s">
        <v>135</v>
      </c>
    </row>
    <row r="97" spans="1:2" x14ac:dyDescent="0.35">
      <c r="A97" s="65"/>
      <c r="B97" s="11" t="s">
        <v>162</v>
      </c>
    </row>
    <row r="98" spans="1:2" x14ac:dyDescent="0.35">
      <c r="A98" s="65"/>
      <c r="B98" s="11" t="s">
        <v>163</v>
      </c>
    </row>
    <row r="99" spans="1:2" x14ac:dyDescent="0.35">
      <c r="A99" s="65"/>
      <c r="B99" s="11" t="s">
        <v>164</v>
      </c>
    </row>
    <row r="100" spans="1:2" ht="15" thickBot="1" x14ac:dyDescent="0.4">
      <c r="A100" s="66"/>
      <c r="B100" s="12" t="s">
        <v>112</v>
      </c>
    </row>
    <row r="101" spans="1:2" x14ac:dyDescent="0.35">
      <c r="A101" s="64" t="s">
        <v>20</v>
      </c>
      <c r="B101" s="10" t="s">
        <v>165</v>
      </c>
    </row>
    <row r="102" spans="1:2" x14ac:dyDescent="0.35">
      <c r="A102" s="65"/>
      <c r="B102" s="11" t="s">
        <v>137</v>
      </c>
    </row>
    <row r="103" spans="1:2" ht="15" thickBot="1" x14ac:dyDescent="0.4">
      <c r="A103" s="66"/>
      <c r="B103" s="12" t="s">
        <v>166</v>
      </c>
    </row>
    <row r="104" spans="1:2" ht="15" thickBot="1" x14ac:dyDescent="0.4">
      <c r="A104" s="14" t="s">
        <v>21</v>
      </c>
      <c r="B104" s="13" t="s">
        <v>167</v>
      </c>
    </row>
    <row r="105" spans="1:2" x14ac:dyDescent="0.35">
      <c r="A105" s="64" t="s">
        <v>22</v>
      </c>
      <c r="B105" s="10" t="s">
        <v>168</v>
      </c>
    </row>
    <row r="106" spans="1:2" x14ac:dyDescent="0.35">
      <c r="A106" s="65"/>
      <c r="B106" s="11" t="s">
        <v>137</v>
      </c>
    </row>
    <row r="107" spans="1:2" x14ac:dyDescent="0.35">
      <c r="A107" s="65"/>
      <c r="B107" s="11" t="s">
        <v>169</v>
      </c>
    </row>
    <row r="108" spans="1:2" x14ac:dyDescent="0.35">
      <c r="A108" s="65"/>
      <c r="B108" s="11" t="s">
        <v>170</v>
      </c>
    </row>
    <row r="109" spans="1:2" ht="15" thickBot="1" x14ac:dyDescent="0.4">
      <c r="A109" s="66"/>
      <c r="B109" s="12" t="s">
        <v>171</v>
      </c>
    </row>
    <row r="110" spans="1:2" x14ac:dyDescent="0.35">
      <c r="A110" s="64" t="s">
        <v>114</v>
      </c>
      <c r="B110" s="10" t="s">
        <v>172</v>
      </c>
    </row>
    <row r="111" spans="1:2" x14ac:dyDescent="0.35">
      <c r="A111" s="65"/>
      <c r="B111" s="11" t="s">
        <v>173</v>
      </c>
    </row>
    <row r="112" spans="1:2" ht="15" thickBot="1" x14ac:dyDescent="0.4">
      <c r="A112" s="66"/>
      <c r="B112" s="12" t="s">
        <v>174</v>
      </c>
    </row>
    <row r="113" spans="1:2" x14ac:dyDescent="0.35">
      <c r="A113" s="64" t="s">
        <v>24</v>
      </c>
      <c r="B113" s="10" t="s">
        <v>175</v>
      </c>
    </row>
    <row r="114" spans="1:2" x14ac:dyDescent="0.35">
      <c r="A114" s="65"/>
      <c r="B114" s="11" t="s">
        <v>176</v>
      </c>
    </row>
    <row r="115" spans="1:2" x14ac:dyDescent="0.35">
      <c r="A115" s="65"/>
      <c r="B115" s="11" t="s">
        <v>95</v>
      </c>
    </row>
    <row r="116" spans="1:2" x14ac:dyDescent="0.35">
      <c r="A116" s="65"/>
      <c r="B116" s="11" t="s">
        <v>177</v>
      </c>
    </row>
    <row r="117" spans="1:2" ht="15" thickBot="1" x14ac:dyDescent="0.4">
      <c r="A117" s="66"/>
      <c r="B117" s="12" t="s">
        <v>178</v>
      </c>
    </row>
    <row r="118" spans="1:2" x14ac:dyDescent="0.35">
      <c r="A118" s="64" t="s">
        <v>25</v>
      </c>
      <c r="B118" s="10" t="s">
        <v>179</v>
      </c>
    </row>
    <row r="119" spans="1:2" x14ac:dyDescent="0.35">
      <c r="A119" s="65"/>
      <c r="B119" s="11" t="s">
        <v>180</v>
      </c>
    </row>
    <row r="120" spans="1:2" x14ac:dyDescent="0.35">
      <c r="A120" s="65"/>
      <c r="B120" s="11" t="s">
        <v>181</v>
      </c>
    </row>
    <row r="121" spans="1:2" x14ac:dyDescent="0.35">
      <c r="A121" s="65"/>
      <c r="B121" s="11" t="s">
        <v>182</v>
      </c>
    </row>
    <row r="122" spans="1:2" x14ac:dyDescent="0.35">
      <c r="A122" s="65"/>
      <c r="B122" s="11" t="s">
        <v>183</v>
      </c>
    </row>
    <row r="123" spans="1:2" x14ac:dyDescent="0.35">
      <c r="A123" s="65"/>
      <c r="B123" s="11" t="s">
        <v>184</v>
      </c>
    </row>
    <row r="124" spans="1:2" ht="15" thickBot="1" x14ac:dyDescent="0.4">
      <c r="A124" s="66"/>
      <c r="B124" s="12" t="s">
        <v>185</v>
      </c>
    </row>
    <row r="125" spans="1:2" x14ac:dyDescent="0.35">
      <c r="A125" s="64" t="s">
        <v>26</v>
      </c>
      <c r="B125" s="10" t="s">
        <v>186</v>
      </c>
    </row>
    <row r="126" spans="1:2" x14ac:dyDescent="0.35">
      <c r="A126" s="65"/>
      <c r="B126" s="11" t="s">
        <v>187</v>
      </c>
    </row>
    <row r="127" spans="1:2" x14ac:dyDescent="0.35">
      <c r="A127" s="65"/>
      <c r="B127" s="11" t="s">
        <v>188</v>
      </c>
    </row>
    <row r="128" spans="1:2" x14ac:dyDescent="0.35">
      <c r="A128" s="65"/>
      <c r="B128" s="11" t="s">
        <v>189</v>
      </c>
    </row>
    <row r="129" spans="1:2" x14ac:dyDescent="0.35">
      <c r="A129" s="65"/>
      <c r="B129" s="11" t="s">
        <v>190</v>
      </c>
    </row>
    <row r="130" spans="1:2" x14ac:dyDescent="0.35">
      <c r="A130" s="65"/>
      <c r="B130" s="11" t="s">
        <v>191</v>
      </c>
    </row>
    <row r="131" spans="1:2" ht="15" thickBot="1" x14ac:dyDescent="0.4">
      <c r="A131" s="66"/>
      <c r="B131" s="12" t="s">
        <v>192</v>
      </c>
    </row>
    <row r="132" spans="1:2" x14ac:dyDescent="0.35">
      <c r="A132" s="64" t="s">
        <v>27</v>
      </c>
      <c r="B132" s="10" t="s">
        <v>193</v>
      </c>
    </row>
    <row r="133" spans="1:2" x14ac:dyDescent="0.35">
      <c r="A133" s="65"/>
      <c r="B133" s="11" t="s">
        <v>194</v>
      </c>
    </row>
    <row r="134" spans="1:2" x14ac:dyDescent="0.35">
      <c r="A134" s="65"/>
      <c r="B134" s="11" t="s">
        <v>195</v>
      </c>
    </row>
    <row r="135" spans="1:2" ht="15" thickBot="1" x14ac:dyDescent="0.4">
      <c r="A135" s="66"/>
      <c r="B135" s="12" t="s">
        <v>196</v>
      </c>
    </row>
    <row r="136" spans="1:2" x14ac:dyDescent="0.35">
      <c r="A136" s="64" t="s">
        <v>28</v>
      </c>
      <c r="B136" s="10" t="s">
        <v>197</v>
      </c>
    </row>
    <row r="137" spans="1:2" ht="15" thickBot="1" x14ac:dyDescent="0.4">
      <c r="A137" s="66"/>
      <c r="B137" s="12" t="s">
        <v>198</v>
      </c>
    </row>
    <row r="138" spans="1:2" x14ac:dyDescent="0.35">
      <c r="A138" s="64" t="s">
        <v>29</v>
      </c>
      <c r="B138" s="10" t="s">
        <v>197</v>
      </c>
    </row>
    <row r="139" spans="1:2" ht="15" thickBot="1" x14ac:dyDescent="0.4">
      <c r="A139" s="66"/>
      <c r="B139" s="12" t="s">
        <v>199</v>
      </c>
    </row>
    <row r="140" spans="1:2" x14ac:dyDescent="0.35">
      <c r="A140" s="64" t="s">
        <v>30</v>
      </c>
      <c r="B140" s="10" t="s">
        <v>197</v>
      </c>
    </row>
    <row r="141" spans="1:2" ht="15" thickBot="1" x14ac:dyDescent="0.4">
      <c r="A141" s="66"/>
      <c r="B141" s="12" t="s">
        <v>199</v>
      </c>
    </row>
    <row r="142" spans="1:2" x14ac:dyDescent="0.35">
      <c r="A142" s="64" t="s">
        <v>31</v>
      </c>
      <c r="B142" s="10" t="s">
        <v>197</v>
      </c>
    </row>
    <row r="143" spans="1:2" x14ac:dyDescent="0.35">
      <c r="A143" s="67"/>
      <c r="B143" s="47" t="s">
        <v>199</v>
      </c>
    </row>
    <row r="144" spans="1:2" x14ac:dyDescent="0.35">
      <c r="A144" s="68" t="s">
        <v>32</v>
      </c>
      <c r="B144" s="48" t="s">
        <v>200</v>
      </c>
    </row>
    <row r="145" spans="1:2" ht="29" x14ac:dyDescent="0.35">
      <c r="A145" s="69"/>
      <c r="B145" s="49" t="s">
        <v>201</v>
      </c>
    </row>
    <row r="146" spans="1:2" x14ac:dyDescent="0.35">
      <c r="A146" s="69"/>
      <c r="B146" s="49" t="s">
        <v>202</v>
      </c>
    </row>
    <row r="147" spans="1:2" x14ac:dyDescent="0.35">
      <c r="A147" s="70"/>
      <c r="B147" s="50" t="s">
        <v>203</v>
      </c>
    </row>
    <row r="148" spans="1:2" x14ac:dyDescent="0.35">
      <c r="A148" s="71" t="s">
        <v>33</v>
      </c>
      <c r="B148" s="51" t="s">
        <v>204</v>
      </c>
    </row>
    <row r="149" spans="1:2" x14ac:dyDescent="0.35">
      <c r="A149" s="72"/>
      <c r="B149" s="52" t="s">
        <v>205</v>
      </c>
    </row>
    <row r="150" spans="1:2" x14ac:dyDescent="0.35">
      <c r="A150" s="72"/>
      <c r="B150" s="52" t="s">
        <v>206</v>
      </c>
    </row>
    <row r="151" spans="1:2" x14ac:dyDescent="0.35">
      <c r="A151" s="73"/>
      <c r="B151" s="53" t="s">
        <v>207</v>
      </c>
    </row>
  </sheetData>
  <mergeCells count="31">
    <mergeCell ref="A144:A147"/>
    <mergeCell ref="A148:A151"/>
    <mergeCell ref="A75:A80"/>
    <mergeCell ref="A2:A4"/>
    <mergeCell ref="A5:A11"/>
    <mergeCell ref="A12:A16"/>
    <mergeCell ref="A17:A28"/>
    <mergeCell ref="A29:A44"/>
    <mergeCell ref="A45:A48"/>
    <mergeCell ref="A49:A51"/>
    <mergeCell ref="A52:A58"/>
    <mergeCell ref="A59:A62"/>
    <mergeCell ref="A63:A69"/>
    <mergeCell ref="A70:A74"/>
    <mergeCell ref="A125:A131"/>
    <mergeCell ref="A81:A85"/>
    <mergeCell ref="A86:A87"/>
    <mergeCell ref="A88:A90"/>
    <mergeCell ref="A91:A92"/>
    <mergeCell ref="A93:A95"/>
    <mergeCell ref="A96:A100"/>
    <mergeCell ref="A101:A103"/>
    <mergeCell ref="A105:A109"/>
    <mergeCell ref="A110:A112"/>
    <mergeCell ref="A113:A117"/>
    <mergeCell ref="A118:A124"/>
    <mergeCell ref="A132:A135"/>
    <mergeCell ref="A136:A137"/>
    <mergeCell ref="A138:A139"/>
    <mergeCell ref="A140:A141"/>
    <mergeCell ref="A142:A14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A216-8B2F-1941-B7D3-ECE96FBF1360}">
  <sheetPr codeName="Sheet8"/>
  <dimension ref="A1:G16"/>
  <sheetViews>
    <sheetView zoomScale="130" zoomScaleNormal="130" workbookViewId="0">
      <selection sqref="A1:B1048576"/>
    </sheetView>
  </sheetViews>
  <sheetFormatPr defaultColWidth="11.453125" defaultRowHeight="14.5" x14ac:dyDescent="0.35"/>
  <cols>
    <col min="1" max="1" width="14" bestFit="1" customWidth="1"/>
    <col min="4" max="4" width="10.81640625" customWidth="1"/>
    <col min="5" max="5" width="90" bestFit="1" customWidth="1"/>
    <col min="6" max="6" width="21.453125" bestFit="1" customWidth="1"/>
    <col min="10" max="10" width="14.26953125" bestFit="1" customWidth="1"/>
    <col min="11" max="11" width="18.453125" bestFit="1" customWidth="1"/>
    <col min="12" max="12" width="12.453125" bestFit="1" customWidth="1"/>
  </cols>
  <sheetData>
    <row r="1" spans="1:7" x14ac:dyDescent="0.35">
      <c r="A1" s="5" t="s">
        <v>208</v>
      </c>
      <c r="B1" s="5" t="s">
        <v>1</v>
      </c>
      <c r="E1" s="6" t="s">
        <v>209</v>
      </c>
      <c r="F1" s="6"/>
    </row>
    <row r="2" spans="1:7" x14ac:dyDescent="0.35">
      <c r="A2" s="1" t="s">
        <v>210</v>
      </c>
      <c r="B2" s="1">
        <v>10</v>
      </c>
      <c r="E2" s="5" t="s">
        <v>211</v>
      </c>
      <c r="F2" s="5" t="s">
        <v>212</v>
      </c>
    </row>
    <row r="3" spans="1:7" x14ac:dyDescent="0.35">
      <c r="A3" s="1" t="s">
        <v>213</v>
      </c>
      <c r="B3" s="1">
        <v>9</v>
      </c>
      <c r="E3" s="1" t="s">
        <v>214</v>
      </c>
      <c r="F3" s="1" t="s">
        <v>215</v>
      </c>
      <c r="G3" s="17" t="s">
        <v>216</v>
      </c>
    </row>
    <row r="4" spans="1:7" x14ac:dyDescent="0.35">
      <c r="A4" s="1" t="s">
        <v>217</v>
      </c>
      <c r="B4" s="1">
        <v>8</v>
      </c>
      <c r="E4" s="4" t="s">
        <v>218</v>
      </c>
      <c r="F4" s="1" t="s">
        <v>219</v>
      </c>
      <c r="G4" s="17" t="s">
        <v>220</v>
      </c>
    </row>
    <row r="5" spans="1:7" x14ac:dyDescent="0.35">
      <c r="A5" s="1" t="s">
        <v>221</v>
      </c>
      <c r="B5" s="1">
        <v>7</v>
      </c>
      <c r="E5" s="1" t="s">
        <v>222</v>
      </c>
      <c r="F5" s="1" t="s">
        <v>223</v>
      </c>
      <c r="G5" s="17" t="s">
        <v>224</v>
      </c>
    </row>
    <row r="6" spans="1:7" x14ac:dyDescent="0.35">
      <c r="A6" s="1" t="s">
        <v>225</v>
      </c>
      <c r="B6" s="1">
        <v>6</v>
      </c>
      <c r="E6" s="1" t="s">
        <v>226</v>
      </c>
      <c r="F6" s="1" t="s">
        <v>227</v>
      </c>
      <c r="G6" s="17" t="s">
        <v>228</v>
      </c>
    </row>
    <row r="7" spans="1:7" x14ac:dyDescent="0.35">
      <c r="A7" s="1" t="s">
        <v>229</v>
      </c>
      <c r="B7" s="1">
        <v>5</v>
      </c>
      <c r="E7" s="1" t="s">
        <v>230</v>
      </c>
      <c r="F7" s="1" t="s">
        <v>231</v>
      </c>
      <c r="G7" s="17" t="s">
        <v>232</v>
      </c>
    </row>
    <row r="8" spans="1:7" x14ac:dyDescent="0.35">
      <c r="A8" s="1" t="s">
        <v>233</v>
      </c>
      <c r="B8" s="1">
        <v>4</v>
      </c>
    </row>
    <row r="9" spans="1:7" x14ac:dyDescent="0.35">
      <c r="A9" s="1" t="s">
        <v>234</v>
      </c>
      <c r="B9" s="1">
        <v>3</v>
      </c>
    </row>
    <row r="10" spans="1:7" x14ac:dyDescent="0.35">
      <c r="A10" s="1" t="s">
        <v>235</v>
      </c>
      <c r="B10" s="1">
        <v>2</v>
      </c>
      <c r="E10" s="6" t="s">
        <v>236</v>
      </c>
      <c r="F10" s="6"/>
    </row>
    <row r="11" spans="1:7" x14ac:dyDescent="0.35">
      <c r="A11" s="1" t="s">
        <v>237</v>
      </c>
      <c r="B11" s="1">
        <v>1</v>
      </c>
      <c r="E11" s="5" t="s">
        <v>211</v>
      </c>
      <c r="F11" s="5" t="s">
        <v>212</v>
      </c>
    </row>
    <row r="12" spans="1:7" x14ac:dyDescent="0.35">
      <c r="E12" s="1" t="s">
        <v>238</v>
      </c>
      <c r="F12" s="1" t="s">
        <v>215</v>
      </c>
      <c r="G12" s="17" t="s">
        <v>239</v>
      </c>
    </row>
    <row r="13" spans="1:7" x14ac:dyDescent="0.35">
      <c r="E13" s="1" t="s">
        <v>240</v>
      </c>
      <c r="F13" s="1" t="s">
        <v>219</v>
      </c>
      <c r="G13" s="17" t="s">
        <v>220</v>
      </c>
    </row>
    <row r="14" spans="1:7" x14ac:dyDescent="0.35">
      <c r="E14" s="1" t="s">
        <v>241</v>
      </c>
      <c r="F14" s="1" t="s">
        <v>223</v>
      </c>
      <c r="G14" s="17" t="s">
        <v>224</v>
      </c>
    </row>
    <row r="15" spans="1:7" x14ac:dyDescent="0.35">
      <c r="E15" s="1" t="s">
        <v>242</v>
      </c>
      <c r="F15" s="1" t="s">
        <v>227</v>
      </c>
      <c r="G15" s="17" t="s">
        <v>228</v>
      </c>
    </row>
    <row r="16" spans="1:7" x14ac:dyDescent="0.35">
      <c r="E16" s="1" t="s">
        <v>243</v>
      </c>
      <c r="F16" s="1" t="s">
        <v>231</v>
      </c>
      <c r="G16" s="17" t="s">
        <v>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99d999-f7ef-47ea-89dc-175b10413be6">
      <Terms xmlns="http://schemas.microsoft.com/office/infopath/2007/PartnerControls"/>
    </lcf76f155ced4ddcb4097134ff3c332f>
    <TaxCatchAll xmlns="0c7e2671-a789-4ed4-99aa-a68328cc96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CB126F8C09F4E9DA370D312DFC3C9" ma:contentTypeVersion="15" ma:contentTypeDescription="Create a new document." ma:contentTypeScope="" ma:versionID="f8c7a09a47981ac79af8b2407d9af03d">
  <xsd:schema xmlns:xsd="http://www.w3.org/2001/XMLSchema" xmlns:xs="http://www.w3.org/2001/XMLSchema" xmlns:p="http://schemas.microsoft.com/office/2006/metadata/properties" xmlns:ns2="c799d999-f7ef-47ea-89dc-175b10413be6" xmlns:ns3="0c7e2671-a789-4ed4-99aa-a68328cc9640" targetNamespace="http://schemas.microsoft.com/office/2006/metadata/properties" ma:root="true" ma:fieldsID="bb06d148bf4f84c60b4812b1882d7de1" ns2:_="" ns3:_="">
    <xsd:import namespace="c799d999-f7ef-47ea-89dc-175b10413be6"/>
    <xsd:import namespace="0c7e2671-a789-4ed4-99aa-a68328cc96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99d999-f7ef-47ea-89dc-175b10413b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e2671-a789-4ed4-99aa-a68328cc964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9bb11ba-024b-4262-a3b2-7ee96f274e6f}" ma:internalName="TaxCatchAll" ma:showField="CatchAllData" ma:web="0c7e2671-a789-4ed4-99aa-a68328cc96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191F6-5773-4FED-81D7-6F44BDBA52BE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0c7e2671-a789-4ed4-99aa-a68328cc9640"/>
    <ds:schemaRef ds:uri="c799d999-f7ef-47ea-89dc-175b10413be6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DAA25CF-4585-4364-AA8F-4BDFAEF5E4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D2F572-DDF3-4093-BB4A-FAE35CDD3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99d999-f7ef-47ea-89dc-175b10413be6"/>
    <ds:schemaRef ds:uri="0c7e2671-a789-4ed4-99aa-a68328cc96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Product and deployment architec</vt:lpstr>
      <vt:lpstr>Support Collaboration	</vt:lpstr>
      <vt:lpstr>Skill Index</vt:lpstr>
      <vt:lpstr>Robot and Assistant</vt:lpstr>
      <vt:lpstr>Studio Family</vt:lpstr>
      <vt:lpstr>Orchestrator</vt:lpstr>
      <vt:lpstr>HAA</vt:lpstr>
      <vt:lpstr>Action Center</vt:lpstr>
      <vt:lpstr>AI Center - DU</vt:lpstr>
      <vt:lpstr>Test Suite</vt:lpstr>
      <vt:lpstr>Insights</vt:lpstr>
      <vt:lpstr>Task Mining</vt:lpstr>
      <vt:lpstr>Process Mining</vt:lpstr>
      <vt:lpstr>Communication Mining</vt:lpstr>
      <vt:lpstr>Automation Ops</vt:lpstr>
      <vt:lpstr>Integration Services</vt:lpstr>
      <vt:lpstr>Data Services</vt:lpstr>
      <vt:lpstr>Apps</vt:lpstr>
      <vt:lpstr>Automation Hub</vt:lpstr>
      <vt:lpstr>Computer Vision</vt:lpstr>
      <vt:lpstr>Clipboard AI</vt:lpstr>
      <vt:lpstr>Automation Suite - PaaS</vt:lpstr>
      <vt:lpstr>Automation Suite - IaaS</vt:lpstr>
      <vt:lpstr>License Management</vt:lpstr>
      <vt:lpstr>Linux -DevOps - Kubernetes</vt:lpstr>
      <vt:lpstr>Azure - AWS - GCP</vt:lpstr>
      <vt:lpstr>SQL Server</vt:lpstr>
      <vt:lpstr>Infra Skills</vt:lpstr>
      <vt:lpstr>SaaS Adoption</vt:lpstr>
      <vt:lpstr>GenAI Awareness</vt:lpstr>
      <vt:lpstr>Sheet2</vt:lpstr>
      <vt:lpstr>Avg per TAM and Per Product</vt:lpstr>
      <vt:lpstr>Product Expectations</vt:lpstr>
      <vt:lpstr>Scoring 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Kumar</dc:creator>
  <cp:keywords/>
  <dc:description/>
  <cp:lastModifiedBy>Mahesh Kumar</cp:lastModifiedBy>
  <cp:revision/>
  <dcterms:created xsi:type="dcterms:W3CDTF">2021-11-23T15:23:50Z</dcterms:created>
  <dcterms:modified xsi:type="dcterms:W3CDTF">2024-04-15T16:16:51Z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0x010100640CB126F8C09F4E9DA370D312DFC3C9</vt:lpwstr>
  </property>
  <property fmtid="{D5CDD505-2E9C-101B-9397-08002B2CF9AE}" pid="3" name="_dlc_DocIdItemGuid">
    <vt:lpwstr>0f2a130e-907f-47d6-8f20-c02ba7b51c34</vt:lpwstr>
  </property>
  <property fmtid="{D5CDD505-2E9C-101B-9397-08002B2CF9AE}" pid="4" name="MediaServiceImageTags">
    <vt:lpwstr/>
  </property>
</Properties>
</file>